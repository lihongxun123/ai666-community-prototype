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06193e032f47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访谈跟踪" sheetId="1" r:id="Rdffde0fe89414273"/>
    <x:sheet xmlns:r="http://schemas.openxmlformats.org/officeDocument/2006/relationships" name="访谈详记" sheetId="2" r:id="R9fe6dc88128c4ae5"/>
    <x:sheet xmlns:r="http://schemas.openxmlformats.org/officeDocument/2006/relationships" name="任务试用" sheetId="3" r:id="Ra9d459992c8248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0.0"/>
    <x:numFmt numFmtId="203" formatCode="#,##0.00"/>
  </x:numFmts>
  <x:fonts count="6">
    <x:font>
      <x:sz val="11"/>
      <x:name val="Carlito"/>
    </x:font>
    <x:font>
      <x:sz val="11"/>
      <x:color rgb="FF293A38"/>
      <x:name val="Arial"/>
    </x:font>
    <x:font>
      <x:b/>
      <x:sz val="16"/>
      <x:color rgb="FF293A38"/>
      <x:name val="Arial"/>
    </x:font>
    <x:font>
      <x:sz val="11"/>
      <x:color rgb="FF64706B"/>
      <x:name val="Arial"/>
    </x:font>
    <x:font>
      <x:b/>
      <x:sz val="11"/>
      <x:color rgb="FFFFFFFF"/>
      <x:name val="Arial"/>
    </x:font>
    <x:font>
      <x:b/>
      <x:sz val="14"/>
      <x:color rgb="FF293A38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E8EEEA"/>
      </x:patternFill>
    </x:fill>
    <x:fill>
      <x:patternFill patternType="solid">
        <x:fgColor rgb="FF455E55"/>
      </x:patternFill>
    </x:fill>
    <x:fill>
      <x:patternFill patternType="solid">
        <x:fgColor rgb="FFFFF6DE"/>
      </x:patternFill>
    </x:fill>
    <x:fill>
      <x:patternFill patternType="solid">
        <x:fgColor rgb="FFFFFFFF"/>
      </x:patternFill>
    </x:fill>
    <x:fill>
      <x:patternFill patternType="solid">
        <x:fgColor rgb="FFF2F4F0"/>
      </x:patternFill>
    </x:fill>
  </x:fills>
  <x:borders count="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6EBE6"/>
      </x:bottom>
    </x:border>
    <x:border>
      <x:top style="thin">
        <x:color rgb="FFCBD5CE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 wrapText="1"/>
    </x:xf>
    <x:xf numFmtId="201" fontId="1" fillId="4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5" xfId="0" applyNumberFormat="1" applyFont="1" applyFill="1" applyBorder="1" applyAlignment="1">
      <x:alignment vertical="center"/>
    </x:xf>
    <x:xf numFmtId="0" fontId="1" fillId="6" borderId="5" xfId="0" applyNumberFormat="1" applyFont="1" applyFill="1" applyBorder="1" applyAlignment="1">
      <x:alignment vertical="top" wrapText="1"/>
    </x:xf>
    <x:xf numFmtId="202" fontId="1" fillId="4" borderId="0" xfId="0" applyNumberFormat="1" applyFont="1" applyFill="1" applyBorder="1" applyAlignment="1">
      <x:alignment vertical="center"/>
    </x:xf>
    <x:xf numFmtId="202" fontId="1" fillId="4" borderId="4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3" fontId="1" fillId="4" borderId="4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3" fontId="1" fillId="2" borderId="4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ill>
        <x:patternFill patternType="solid">
          <x:bgColor rgb="FFDFEB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ba218c862b4e0c" /><Relationship Type="http://schemas.openxmlformats.org/officeDocument/2006/relationships/theme" Target="/xl/theme/theme1.xml" Id="Rc6929c1635e24a66" /><Relationship Type="http://schemas.openxmlformats.org/officeDocument/2006/relationships/sharedStrings" Target="/xl/sharedStrings.xml" Id="R7da478b7620947fc" /><Relationship Type="http://schemas.openxmlformats.org/officeDocument/2006/relationships/worksheet" Target="/xl/worksheets/sheet1.xml" Id="Rdffde0fe89414273" /><Relationship Type="http://schemas.openxmlformats.org/officeDocument/2006/relationships/worksheet" Target="/xl/worksheets/sheet2.xml" Id="R9fe6dc88128c4ae5" /><Relationship Type="http://schemas.openxmlformats.org/officeDocument/2006/relationships/worksheet" Target="/xl/worksheets/sheet3.xml" Id="Ra9d459992c8248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55E55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7" hidden="0" customWidth="1"/>
    <x:col min="4" max="4" width="31" hidden="0" customWidth="1"/>
    <x:col min="5" max="5" width="15" hidden="0" customWidth="1"/>
    <x:col min="6" max="6" width="18" hidden="0" customWidth="1"/>
    <x:col min="7" max="7" width="19" hidden="0" customWidth="1"/>
    <x:col min="8" max="8" width="36" hidden="0" customWidth="1"/>
    <x:col min="9" max="9" width="1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4" customHeight="1">
      <x:c r="A2" s="3" t="str">
        <x:v>多元拾光需求验证</x:v>
      </x:c>
      <x:c r="B2" s="2"/>
      <x:c r="C2" s="2"/>
      <x:c r="D2" s="2"/>
      <x:c r="E2" s="2"/>
      <x:c r="F2" s="2"/>
      <x:c r="G2" s="2"/>
      <x:c r="H2" s="2"/>
      <x:c r="I2" s="2"/>
    </x:row>
    <x:row r="3" ht="25" customHeight="1">
      <x:c r="A3" s="4" t="str">
        <x:v>12 个编号均为计划占位。每个方向先访谈 4 次，用于发现和排除假设，不据此估计人群比例。</x:v>
      </x:c>
      <x:c r="B3" s="2"/>
      <x:c r="C3" s="2"/>
      <x:c r="D3" s="2"/>
      <x:c r="E3" s="2"/>
      <x:c r="F3" s="2"/>
      <x:c r="G3" s="2"/>
      <x:c r="H3" s="2"/>
      <x:c r="I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25" customHeight="1">
      <x:c r="A5" s="2" t="str">
        <x:v>实际完成</x:v>
      </x:c>
      <x:c r="B5" s="6" t="n">
        <x:f>COUNTIFS($C$9:$C$20,"已完成")</x:f>
        <x:v>0</x:v>
      </x:c>
      <x:c r="C5" s="2" t="str">
        <x:v>商品内容完成</x:v>
      </x:c>
      <x:c r="D5" s="6" t="n">
        <x:f>COUNTIFS($B$9:$B$20,"商品内容",$C$9:$C$20,"已完成")</x:f>
        <x:v>0</x:v>
      </x:c>
      <x:c r="E5" s="2" t="str">
        <x:v>连载创作完成</x:v>
      </x:c>
      <x:c r="F5" s="6" t="n">
        <x:f>COUNTIFS($B$9:$B$20,"连载创作",$C$9:$C$20,"已完成")</x:f>
        <x:v>0</x:v>
      </x:c>
      <x:c r="G5" s="2" t="str">
        <x:v>API 使用完成</x:v>
      </x:c>
      <x:c r="H5" s="6" t="n">
        <x:f>COUNTIFS($B$9:$B$20,"API 使用",$C$9:$C$20,"已完成")</x:f>
        <x:v>0</x:v>
      </x:c>
      <x:c r="I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25" customHeight="1">
      <x:c r="A7" s="4" t="str">
        <x:v>浅黄为填写区。完成访谈后填写日期及详记，再将状态改为“已完成”。只记匿名编号，不录姓名、联系方式或密钥。</x:v>
      </x:c>
      <x:c r="B7" s="2"/>
      <x:c r="C7" s="2"/>
      <x:c r="D7" s="2"/>
      <x:c r="E7" s="2"/>
      <x:c r="F7" s="2"/>
      <x:c r="G7" s="2"/>
      <x:c r="H7" s="2"/>
      <x:c r="I7" s="2"/>
    </x:row>
    <x:row r="8" ht="42" customHeight="1">
      <x:c r="A8" s="11" t="str">
        <x:v>计划编号</x:v>
      </x:c>
      <x:c r="B8" s="12" t="str">
        <x:v>探索方向</x:v>
      </x:c>
      <x:c r="C8" s="12" t="str">
        <x:v>访谈状态</x:v>
      </x:c>
      <x:c r="D8" s="12" t="str">
        <x:v>发现入口（脱敏链接或描述）</x:v>
      </x:c>
      <x:c r="E8" s="12" t="str">
        <x:v>实际访谈日期</x:v>
      </x:c>
      <x:c r="F8" s="12" t="str">
        <x:v>有近期真实任务</x:v>
      </x:c>
      <x:c r="G8" s="12" t="str">
        <x:v>材料可查看状态</x:v>
      </x:c>
      <x:c r="H8" s="12" t="str">
        <x:v>下一步动作</x:v>
      </x:c>
      <x:c r="I8" s="13" t="str">
        <x:v>跟进日期</x:v>
      </x:c>
    </x:row>
    <x:row r="9" ht="42" customHeight="1">
      <x:c r="A9" s="17" t="str">
        <x:v>I01</x:v>
      </x:c>
      <x:c r="B9" s="17" t="str">
        <x:v>商品内容</x:v>
      </x:c>
      <x:c r="C9" s="18" t="str">
        <x:v>未开始</x:v>
      </x:c>
      <x:c r="D9" s="19"/>
      <x:c r="E9" s="20"/>
      <x:c r="F9" s="18"/>
      <x:c r="G9" s="18"/>
      <x:c r="H9" s="19"/>
      <x:c r="I9" s="20"/>
    </x:row>
    <x:row r="10" ht="42" customHeight="1">
      <x:c r="A10" s="17" t="str">
        <x:v>I02</x:v>
      </x:c>
      <x:c r="B10" s="17" t="str">
        <x:v>商品内容</x:v>
      </x:c>
      <x:c r="C10" s="18" t="str">
        <x:v>未开始</x:v>
      </x:c>
      <x:c r="D10" s="19"/>
      <x:c r="E10" s="20"/>
      <x:c r="F10" s="18"/>
      <x:c r="G10" s="18"/>
      <x:c r="H10" s="19"/>
      <x:c r="I10" s="20"/>
    </x:row>
    <x:row r="11" ht="42" customHeight="1">
      <x:c r="A11" s="17" t="str">
        <x:v>I03</x:v>
      </x:c>
      <x:c r="B11" s="17" t="str">
        <x:v>商品内容</x:v>
      </x:c>
      <x:c r="C11" s="18" t="str">
        <x:v>未开始</x:v>
      </x:c>
      <x:c r="D11" s="19"/>
      <x:c r="E11" s="20"/>
      <x:c r="F11" s="18"/>
      <x:c r="G11" s="18"/>
      <x:c r="H11" s="19"/>
      <x:c r="I11" s="20"/>
    </x:row>
    <x:row r="12" ht="42" customHeight="1">
      <x:c r="A12" s="17" t="str">
        <x:v>I04</x:v>
      </x:c>
      <x:c r="B12" s="17" t="str">
        <x:v>商品内容</x:v>
      </x:c>
      <x:c r="C12" s="18" t="str">
        <x:v>未开始</x:v>
      </x:c>
      <x:c r="D12" s="19"/>
      <x:c r="E12" s="20"/>
      <x:c r="F12" s="18"/>
      <x:c r="G12" s="18"/>
      <x:c r="H12" s="19"/>
      <x:c r="I12" s="20"/>
    </x:row>
    <x:row r="13" ht="42" customHeight="1">
      <x:c r="A13" s="17" t="str">
        <x:v>I05</x:v>
      </x:c>
      <x:c r="B13" s="17" t="str">
        <x:v>连载创作</x:v>
      </x:c>
      <x:c r="C13" s="18" t="str">
        <x:v>未开始</x:v>
      </x:c>
      <x:c r="D13" s="19"/>
      <x:c r="E13" s="20"/>
      <x:c r="F13" s="18"/>
      <x:c r="G13" s="18"/>
      <x:c r="H13" s="19"/>
      <x:c r="I13" s="20"/>
    </x:row>
    <x:row r="14" ht="42" customHeight="1">
      <x:c r="A14" s="17" t="str">
        <x:v>I06</x:v>
      </x:c>
      <x:c r="B14" s="17" t="str">
        <x:v>连载创作</x:v>
      </x:c>
      <x:c r="C14" s="18" t="str">
        <x:v>未开始</x:v>
      </x:c>
      <x:c r="D14" s="19"/>
      <x:c r="E14" s="20"/>
      <x:c r="F14" s="18"/>
      <x:c r="G14" s="18"/>
      <x:c r="H14" s="19"/>
      <x:c r="I14" s="20"/>
    </x:row>
    <x:row r="15" ht="42" customHeight="1">
      <x:c r="A15" s="17" t="str">
        <x:v>I07</x:v>
      </x:c>
      <x:c r="B15" s="17" t="str">
        <x:v>连载创作</x:v>
      </x:c>
      <x:c r="C15" s="18" t="str">
        <x:v>未开始</x:v>
      </x:c>
      <x:c r="D15" s="19"/>
      <x:c r="E15" s="20"/>
      <x:c r="F15" s="18"/>
      <x:c r="G15" s="18"/>
      <x:c r="H15" s="19"/>
      <x:c r="I15" s="20"/>
    </x:row>
    <x:row r="16" ht="42" customHeight="1">
      <x:c r="A16" s="17" t="str">
        <x:v>I08</x:v>
      </x:c>
      <x:c r="B16" s="17" t="str">
        <x:v>连载创作</x:v>
      </x:c>
      <x:c r="C16" s="18" t="str">
        <x:v>未开始</x:v>
      </x:c>
      <x:c r="D16" s="19"/>
      <x:c r="E16" s="20"/>
      <x:c r="F16" s="18"/>
      <x:c r="G16" s="18"/>
      <x:c r="H16" s="19"/>
      <x:c r="I16" s="20"/>
    </x:row>
    <x:row r="17" ht="42" customHeight="1">
      <x:c r="A17" s="17" t="str">
        <x:v>I09</x:v>
      </x:c>
      <x:c r="B17" s="17" t="str">
        <x:v>API 使用</x:v>
      </x:c>
      <x:c r="C17" s="18" t="str">
        <x:v>未开始</x:v>
      </x:c>
      <x:c r="D17" s="19"/>
      <x:c r="E17" s="20"/>
      <x:c r="F17" s="18"/>
      <x:c r="G17" s="18"/>
      <x:c r="H17" s="19"/>
      <x:c r="I17" s="20"/>
    </x:row>
    <x:row r="18" ht="42" customHeight="1">
      <x:c r="A18" s="17" t="str">
        <x:v>I10</x:v>
      </x:c>
      <x:c r="B18" s="17" t="str">
        <x:v>API 使用</x:v>
      </x:c>
      <x:c r="C18" s="18" t="str">
        <x:v>未开始</x:v>
      </x:c>
      <x:c r="D18" s="19"/>
      <x:c r="E18" s="20"/>
      <x:c r="F18" s="18"/>
      <x:c r="G18" s="18"/>
      <x:c r="H18" s="19"/>
      <x:c r="I18" s="20"/>
    </x:row>
    <x:row r="19" ht="42" customHeight="1">
      <x:c r="A19" s="17" t="str">
        <x:v>I11</x:v>
      </x:c>
      <x:c r="B19" s="17" t="str">
        <x:v>API 使用</x:v>
      </x:c>
      <x:c r="C19" s="18" t="str">
        <x:v>未开始</x:v>
      </x:c>
      <x:c r="D19" s="19"/>
      <x:c r="E19" s="20"/>
      <x:c r="F19" s="18"/>
      <x:c r="G19" s="18"/>
      <x:c r="H19" s="19"/>
      <x:c r="I19" s="20"/>
    </x:row>
    <x:row r="20" ht="42" customHeight="1">
      <x:c r="A20" s="17" t="str">
        <x:v>I12</x:v>
      </x:c>
      <x:c r="B20" s="17" t="str">
        <x:v>API 使用</x:v>
      </x:c>
      <x:c r="C20" s="18" t="str">
        <x:v>未开始</x:v>
      </x:c>
      <x:c r="D20" s="19"/>
      <x:c r="E20" s="20"/>
      <x:c r="F20" s="18"/>
      <x:c r="G20" s="18"/>
      <x:c r="H20" s="19"/>
      <x:c r="I20" s="20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25" customHeight="1">
      <x:c r="A22" s="4" t="str">
        <x:v>招募替补沿用同一计划编号时，先把此前拒绝或失约情况写入下一步动作；不要把替补当成一次已完成访谈。</x:v>
      </x:c>
      <x:c r="B22" s="2"/>
      <x:c r="C22" s="2"/>
      <x:c r="D22" s="2"/>
      <x:c r="E22" s="2"/>
      <x:c r="F22" s="2"/>
      <x:c r="G22" s="2"/>
      <x:c r="H22" s="2"/>
      <x:c r="I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</x:row>
  </x:sheetData>
  <x:conditionalFormatting sqref="C9:C20">
    <x:cfRule type="containsText" dxfId="0" priority="1" operator="containsText" text="已完成"/>
  </x:conditionalFormatting>
  <x:dataValidations count="3">
    <x:dataValidation type="list" sqref="C9:C20">
      <x:formula1>"未开始,已联系,已约定,已完成,拒绝,未到场,不符合本轮条件"</x:formula1>
    </x:dataValidation>
    <x:dataValidation type="list" sqref="F9:F20">
      <x:formula1>"已看过任务证据,仅口头描述,没有近期任务,未确认"</x:formula1>
    </x:dataValidation>
    <x:dataValidation type="list" sqref="G9:G20">
      <x:formula1>"已看脱敏材料,可看但未提供,不方便提供,无材料,未确认"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15" hidden="0" customWidth="1"/>
    <x:col min="3" max="3" width="50" hidden="0" customWidth="1"/>
    <x:col min="4" max="4" width="75" hidden="0" customWidth="1"/>
    <x:col min="5" max="5" width="41" hidden="0" customWidth="1"/>
    <x:col min="6" max="6" width="19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34" customHeight="1">
      <x:c r="A2" s="3" t="str">
        <x:v>访谈详记</x:v>
      </x:c>
      <x:c r="B2" s="2"/>
      <x:c r="C2" s="2"/>
      <x:c r="D2" s="2"/>
      <x:c r="E2" s="2"/>
      <x:c r="F2" s="2"/>
    </x:row>
    <x:row r="3" ht="25" customHeight="1">
      <x:c r="A3" s="4" t="str">
        <x:v>按匿名编号填写。每条记录区分对方自述、已查看证据和我们的解释；材料只留脱敏位置。长文本可增加行高。</x:v>
      </x:c>
      <x:c r="B3" s="2"/>
      <x:c r="C3" s="2"/>
      <x:c r="D3" s="2"/>
      <x:c r="E3" s="2"/>
      <x:c r="F3" s="2"/>
    </x:row>
    <x:row r="4" ht="25" customHeight="1">
      <x:c r="A4" s="2"/>
      <x:c r="B4" s="2"/>
      <x:c r="C4" s="2"/>
      <x:c r="D4" s="2"/>
      <x:c r="E4" s="2"/>
      <x:c r="F4" s="2"/>
    </x:row>
    <x:row r="5" ht="42" customHeight="1">
      <x:c r="A5" s="11" t="str">
        <x:v>计划编号</x:v>
      </x:c>
      <x:c r="B5" s="12" t="str">
        <x:v>探索方向</x:v>
      </x:c>
      <x:c r="C5" s="12" t="str">
        <x:v>追问事项</x:v>
      </x:c>
      <x:c r="D5" s="12" t="str">
        <x:v>访谈记录</x:v>
      </x:c>
      <x:c r="E5" s="12" t="str">
        <x:v>证据位置或待补材料</x:v>
      </x:c>
      <x:c r="F5" s="13" t="str">
        <x:v>证据类型</x:v>
      </x:c>
    </x:row>
    <x:row r="6" ht="46" customHeight="1">
      <x:c r="A6" s="26" t="str">
        <x:v>I01</x:v>
      </x:c>
      <x:c r="B6" s="26" t="str">
        <x:v>商品内容</x:v>
      </x:c>
      <x:c r="C6" s="27" t="str">
        <x:v>最近一次真实任务：何时发生，交付给什么角色？</x:v>
      </x:c>
      <x:c r="D6" s="28"/>
      <x:c r="E6" s="28"/>
      <x:c r="F6" s="29"/>
    </x:row>
    <x:row r="7" ht="46" customHeight="1">
      <x:c r="A7" s="24" t="str">
        <x:v>I01</x:v>
      </x:c>
      <x:c r="B7" s="24" t="str">
        <x:v>商品内容</x:v>
      </x:c>
      <x:c r="C7" s="25" t="str">
        <x:v>验收标准：尺寸、风格、准确性或接口要求是什么？</x:v>
      </x:c>
      <x:c r="D7" s="23"/>
      <x:c r="E7" s="23"/>
      <x:c r="F7" s="14"/>
    </x:row>
    <x:row r="8" ht="46" customHeight="1">
      <x:c r="A8" s="24" t="str">
        <x:v>I01</x:v>
      </x:c>
      <x:c r="B8" s="24" t="str">
        <x:v>商品内容</x:v>
      </x:c>
      <x:c r="C8" s="25" t="str">
        <x:v>旧方案：用了什么，由谁完成，为什么继续使用？</x:v>
      </x:c>
      <x:c r="D8" s="23"/>
      <x:c r="E8" s="23"/>
      <x:c r="F8" s="14"/>
    </x:row>
    <x:row r="9" ht="46" customHeight="1">
      <x:c r="A9" s="24" t="str">
        <x:v>I01</x:v>
      </x:c>
      <x:c r="B9" s="24" t="str">
        <x:v>商品内容</x:v>
      </x:c>
      <x:c r="C9" s="25" t="str">
        <x:v>痛点与后果：哪里卡住，造成什么返工或损失？</x:v>
      </x:c>
      <x:c r="D9" s="23"/>
      <x:c r="E9" s="23"/>
      <x:c r="F9" s="14"/>
    </x:row>
    <x:row r="10" ht="46" customHeight="1">
      <x:c r="A10" s="24" t="str">
        <x:v>I01</x:v>
      </x:c>
      <x:c r="B10" s="24" t="str">
        <x:v>商品内容</x:v>
      </x:c>
      <x:c r="C10" s="25" t="str">
        <x:v>已有投入：对方怎样描述花费、币种、时间和付款方？</x:v>
      </x:c>
      <x:c r="D10" s="23"/>
      <x:c r="E10" s="23"/>
      <x:c r="F10" s="14"/>
    </x:row>
    <x:row r="11" ht="46" customHeight="1">
      <x:c r="A11" s="24" t="str">
        <x:v>I01</x:v>
      </x:c>
      <x:c r="B11" s="24" t="str">
        <x:v>商品内容</x:v>
      </x:c>
      <x:c r="C11" s="25" t="str">
        <x:v>材料与权限：已看过什么，哪些材料不能试用？</x:v>
      </x:c>
      <x:c r="D11" s="23"/>
      <x:c r="E11" s="23"/>
      <x:c r="F11" s="14"/>
    </x:row>
    <x:row r="12" ht="46" customHeight="1">
      <x:c r="A12" s="24" t="str">
        <x:v>I01</x:v>
      </x:c>
      <x:c r="B12" s="24" t="str">
        <x:v>商品内容</x:v>
      </x:c>
      <x:c r="C12" s="25" t="str">
        <x:v>替代选择：不用 AI 或沿用旧方案能否完成？</x:v>
      </x:c>
      <x:c r="D12" s="23"/>
      <x:c r="E12" s="23"/>
      <x:c r="F12" s="14"/>
    </x:row>
    <x:row r="13" ht="46" customHeight="1">
      <x:c r="A13" s="24" t="str">
        <x:v>I01</x:v>
      </x:c>
      <x:c r="B13" s="24" t="str">
        <x:v>商品内容</x:v>
      </x:c>
      <x:c r="C13" s="25" t="str">
        <x:v>下次任务：什么触发，日期是否已有安排？</x:v>
      </x:c>
      <x:c r="D13" s="23"/>
      <x:c r="E13" s="23"/>
      <x:c r="F13" s="14"/>
    </x:row>
    <x:row r="14" ht="46" customHeight="1">
      <x:c r="A14" s="24" t="str">
        <x:v>I01</x:v>
      </x:c>
      <x:c r="B14" s="24" t="str">
        <x:v>商品内容</x:v>
      </x:c>
      <x:c r="C14" s="25" t="str">
        <x:v>反例与拒绝原因：什么情况下不会用我们的方案？</x:v>
      </x:c>
      <x:c r="D14" s="23"/>
      <x:c r="E14" s="23"/>
      <x:c r="F14" s="14"/>
    </x:row>
    <x:row r="15" ht="46" customHeight="1">
      <x:c r="A15" s="24" t="str">
        <x:v>I01</x:v>
      </x:c>
      <x:c r="B15" s="24" t="str">
        <x:v>商品内容</x:v>
      </x:c>
      <x:c r="C15" s="25" t="str">
        <x:v>复述确认：对方纠正了什么，还缺什么证据？</x:v>
      </x:c>
      <x:c r="D15" s="23"/>
      <x:c r="E15" s="23"/>
      <x:c r="F15" s="14"/>
    </x:row>
    <x:row r="16" ht="46" customHeight="1">
      <x:c r="A16" s="32" t="str">
        <x:v>I02</x:v>
      </x:c>
      <x:c r="B16" s="32" t="str">
        <x:v>商品内容</x:v>
      </x:c>
      <x:c r="C16" s="33" t="str">
        <x:v>最近一次真实任务：何时发生，交付给什么角色？</x:v>
      </x:c>
      <x:c r="D16" s="28"/>
      <x:c r="E16" s="28"/>
      <x:c r="F16" s="29"/>
    </x:row>
    <x:row r="17" ht="46" customHeight="1">
      <x:c r="A17" s="30" t="str">
        <x:v>I02</x:v>
      </x:c>
      <x:c r="B17" s="30" t="str">
        <x:v>商品内容</x:v>
      </x:c>
      <x:c r="C17" s="31" t="str">
        <x:v>验收标准：尺寸、风格、准确性或接口要求是什么？</x:v>
      </x:c>
      <x:c r="D17" s="23"/>
      <x:c r="E17" s="23"/>
      <x:c r="F17" s="14"/>
    </x:row>
    <x:row r="18" ht="46" customHeight="1">
      <x:c r="A18" s="30" t="str">
        <x:v>I02</x:v>
      </x:c>
      <x:c r="B18" s="30" t="str">
        <x:v>商品内容</x:v>
      </x:c>
      <x:c r="C18" s="31" t="str">
        <x:v>旧方案：用了什么，由谁完成，为什么继续使用？</x:v>
      </x:c>
      <x:c r="D18" s="23"/>
      <x:c r="E18" s="23"/>
      <x:c r="F18" s="14"/>
    </x:row>
    <x:row r="19" ht="46" customHeight="1">
      <x:c r="A19" s="30" t="str">
        <x:v>I02</x:v>
      </x:c>
      <x:c r="B19" s="30" t="str">
        <x:v>商品内容</x:v>
      </x:c>
      <x:c r="C19" s="31" t="str">
        <x:v>痛点与后果：哪里卡住，造成什么返工或损失？</x:v>
      </x:c>
      <x:c r="D19" s="23"/>
      <x:c r="E19" s="23"/>
      <x:c r="F19" s="14"/>
    </x:row>
    <x:row r="20" ht="46" customHeight="1">
      <x:c r="A20" s="30" t="str">
        <x:v>I02</x:v>
      </x:c>
      <x:c r="B20" s="30" t="str">
        <x:v>商品内容</x:v>
      </x:c>
      <x:c r="C20" s="31" t="str">
        <x:v>已有投入：对方怎样描述花费、币种、时间和付款方？</x:v>
      </x:c>
      <x:c r="D20" s="23"/>
      <x:c r="E20" s="23"/>
      <x:c r="F20" s="14"/>
    </x:row>
    <x:row r="21" ht="46" customHeight="1">
      <x:c r="A21" s="30" t="str">
        <x:v>I02</x:v>
      </x:c>
      <x:c r="B21" s="30" t="str">
        <x:v>商品内容</x:v>
      </x:c>
      <x:c r="C21" s="31" t="str">
        <x:v>材料与权限：已看过什么，哪些材料不能试用？</x:v>
      </x:c>
      <x:c r="D21" s="23"/>
      <x:c r="E21" s="23"/>
      <x:c r="F21" s="14"/>
    </x:row>
    <x:row r="22" ht="46" customHeight="1">
      <x:c r="A22" s="30" t="str">
        <x:v>I02</x:v>
      </x:c>
      <x:c r="B22" s="30" t="str">
        <x:v>商品内容</x:v>
      </x:c>
      <x:c r="C22" s="31" t="str">
        <x:v>替代选择：不用 AI 或沿用旧方案能否完成？</x:v>
      </x:c>
      <x:c r="D22" s="23"/>
      <x:c r="E22" s="23"/>
      <x:c r="F22" s="14"/>
    </x:row>
    <x:row r="23" ht="46" customHeight="1">
      <x:c r="A23" s="30" t="str">
        <x:v>I02</x:v>
      </x:c>
      <x:c r="B23" s="30" t="str">
        <x:v>商品内容</x:v>
      </x:c>
      <x:c r="C23" s="31" t="str">
        <x:v>下次任务：什么触发，日期是否已有安排？</x:v>
      </x:c>
      <x:c r="D23" s="23"/>
      <x:c r="E23" s="23"/>
      <x:c r="F23" s="14"/>
    </x:row>
    <x:row r="24" ht="46" customHeight="1">
      <x:c r="A24" s="30" t="str">
        <x:v>I02</x:v>
      </x:c>
      <x:c r="B24" s="30" t="str">
        <x:v>商品内容</x:v>
      </x:c>
      <x:c r="C24" s="31" t="str">
        <x:v>反例与拒绝原因：什么情况下不会用我们的方案？</x:v>
      </x:c>
      <x:c r="D24" s="23"/>
      <x:c r="E24" s="23"/>
      <x:c r="F24" s="14"/>
    </x:row>
    <x:row r="25" ht="46" customHeight="1">
      <x:c r="A25" s="30" t="str">
        <x:v>I02</x:v>
      </x:c>
      <x:c r="B25" s="30" t="str">
        <x:v>商品内容</x:v>
      </x:c>
      <x:c r="C25" s="31" t="str">
        <x:v>复述确认：对方纠正了什么，还缺什么证据？</x:v>
      </x:c>
      <x:c r="D25" s="23"/>
      <x:c r="E25" s="23"/>
      <x:c r="F25" s="14"/>
    </x:row>
    <x:row r="26" ht="46" customHeight="1">
      <x:c r="A26" s="26" t="str">
        <x:v>I03</x:v>
      </x:c>
      <x:c r="B26" s="26" t="str">
        <x:v>商品内容</x:v>
      </x:c>
      <x:c r="C26" s="27" t="str">
        <x:v>最近一次真实任务：何时发生，交付给什么角色？</x:v>
      </x:c>
      <x:c r="D26" s="28"/>
      <x:c r="E26" s="28"/>
      <x:c r="F26" s="29"/>
    </x:row>
    <x:row r="27" ht="46" customHeight="1">
      <x:c r="A27" s="24" t="str">
        <x:v>I03</x:v>
      </x:c>
      <x:c r="B27" s="24" t="str">
        <x:v>商品内容</x:v>
      </x:c>
      <x:c r="C27" s="25" t="str">
        <x:v>验收标准：尺寸、风格、准确性或接口要求是什么？</x:v>
      </x:c>
      <x:c r="D27" s="23"/>
      <x:c r="E27" s="23"/>
      <x:c r="F27" s="14"/>
    </x:row>
    <x:row r="28" ht="46" customHeight="1">
      <x:c r="A28" s="24" t="str">
        <x:v>I03</x:v>
      </x:c>
      <x:c r="B28" s="24" t="str">
        <x:v>商品内容</x:v>
      </x:c>
      <x:c r="C28" s="25" t="str">
        <x:v>旧方案：用了什么，由谁完成，为什么继续使用？</x:v>
      </x:c>
      <x:c r="D28" s="23"/>
      <x:c r="E28" s="23"/>
      <x:c r="F28" s="14"/>
    </x:row>
    <x:row r="29" ht="46" customHeight="1">
      <x:c r="A29" s="24" t="str">
        <x:v>I03</x:v>
      </x:c>
      <x:c r="B29" s="24" t="str">
        <x:v>商品内容</x:v>
      </x:c>
      <x:c r="C29" s="25" t="str">
        <x:v>痛点与后果：哪里卡住，造成什么返工或损失？</x:v>
      </x:c>
      <x:c r="D29" s="23"/>
      <x:c r="E29" s="23"/>
      <x:c r="F29" s="14"/>
    </x:row>
    <x:row r="30" ht="46" customHeight="1">
      <x:c r="A30" s="24" t="str">
        <x:v>I03</x:v>
      </x:c>
      <x:c r="B30" s="24" t="str">
        <x:v>商品内容</x:v>
      </x:c>
      <x:c r="C30" s="25" t="str">
        <x:v>已有投入：对方怎样描述花费、币种、时间和付款方？</x:v>
      </x:c>
      <x:c r="D30" s="23"/>
      <x:c r="E30" s="23"/>
      <x:c r="F30" s="14"/>
    </x:row>
    <x:row r="31" ht="46" customHeight="1">
      <x:c r="A31" s="24" t="str">
        <x:v>I03</x:v>
      </x:c>
      <x:c r="B31" s="24" t="str">
        <x:v>商品内容</x:v>
      </x:c>
      <x:c r="C31" s="25" t="str">
        <x:v>材料与权限：已看过什么，哪些材料不能试用？</x:v>
      </x:c>
      <x:c r="D31" s="23"/>
      <x:c r="E31" s="23"/>
      <x:c r="F31" s="14"/>
    </x:row>
    <x:row r="32" ht="46" customHeight="1">
      <x:c r="A32" s="24" t="str">
        <x:v>I03</x:v>
      </x:c>
      <x:c r="B32" s="24" t="str">
        <x:v>商品内容</x:v>
      </x:c>
      <x:c r="C32" s="25" t="str">
        <x:v>替代选择：不用 AI 或沿用旧方案能否完成？</x:v>
      </x:c>
      <x:c r="D32" s="23"/>
      <x:c r="E32" s="23"/>
      <x:c r="F32" s="14"/>
    </x:row>
    <x:row r="33" ht="46" customHeight="1">
      <x:c r="A33" s="24" t="str">
        <x:v>I03</x:v>
      </x:c>
      <x:c r="B33" s="24" t="str">
        <x:v>商品内容</x:v>
      </x:c>
      <x:c r="C33" s="25" t="str">
        <x:v>下次任务：什么触发，日期是否已有安排？</x:v>
      </x:c>
      <x:c r="D33" s="23"/>
      <x:c r="E33" s="23"/>
      <x:c r="F33" s="14"/>
    </x:row>
    <x:row r="34" ht="46" customHeight="1">
      <x:c r="A34" s="24" t="str">
        <x:v>I03</x:v>
      </x:c>
      <x:c r="B34" s="24" t="str">
        <x:v>商品内容</x:v>
      </x:c>
      <x:c r="C34" s="25" t="str">
        <x:v>反例与拒绝原因：什么情况下不会用我们的方案？</x:v>
      </x:c>
      <x:c r="D34" s="23"/>
      <x:c r="E34" s="23"/>
      <x:c r="F34" s="14"/>
    </x:row>
    <x:row r="35" ht="46" customHeight="1">
      <x:c r="A35" s="24" t="str">
        <x:v>I03</x:v>
      </x:c>
      <x:c r="B35" s="24" t="str">
        <x:v>商品内容</x:v>
      </x:c>
      <x:c r="C35" s="25" t="str">
        <x:v>复述确认：对方纠正了什么，还缺什么证据？</x:v>
      </x:c>
      <x:c r="D35" s="23"/>
      <x:c r="E35" s="23"/>
      <x:c r="F35" s="14"/>
    </x:row>
    <x:row r="36" ht="46" customHeight="1">
      <x:c r="A36" s="32" t="str">
        <x:v>I04</x:v>
      </x:c>
      <x:c r="B36" s="32" t="str">
        <x:v>商品内容</x:v>
      </x:c>
      <x:c r="C36" s="33" t="str">
        <x:v>最近一次真实任务：何时发生，交付给什么角色？</x:v>
      </x:c>
      <x:c r="D36" s="28"/>
      <x:c r="E36" s="28"/>
      <x:c r="F36" s="29"/>
    </x:row>
    <x:row r="37" ht="46" customHeight="1">
      <x:c r="A37" s="30" t="str">
        <x:v>I04</x:v>
      </x:c>
      <x:c r="B37" s="30" t="str">
        <x:v>商品内容</x:v>
      </x:c>
      <x:c r="C37" s="31" t="str">
        <x:v>验收标准：尺寸、风格、准确性或接口要求是什么？</x:v>
      </x:c>
      <x:c r="D37" s="23"/>
      <x:c r="E37" s="23"/>
      <x:c r="F37" s="14"/>
    </x:row>
    <x:row r="38" ht="46" customHeight="1">
      <x:c r="A38" s="30" t="str">
        <x:v>I04</x:v>
      </x:c>
      <x:c r="B38" s="30" t="str">
        <x:v>商品内容</x:v>
      </x:c>
      <x:c r="C38" s="31" t="str">
        <x:v>旧方案：用了什么，由谁完成，为什么继续使用？</x:v>
      </x:c>
      <x:c r="D38" s="23"/>
      <x:c r="E38" s="23"/>
      <x:c r="F38" s="14"/>
    </x:row>
    <x:row r="39" ht="46" customHeight="1">
      <x:c r="A39" s="30" t="str">
        <x:v>I04</x:v>
      </x:c>
      <x:c r="B39" s="30" t="str">
        <x:v>商品内容</x:v>
      </x:c>
      <x:c r="C39" s="31" t="str">
        <x:v>痛点与后果：哪里卡住，造成什么返工或损失？</x:v>
      </x:c>
      <x:c r="D39" s="23"/>
      <x:c r="E39" s="23"/>
      <x:c r="F39" s="14"/>
    </x:row>
    <x:row r="40" ht="46" customHeight="1">
      <x:c r="A40" s="30" t="str">
        <x:v>I04</x:v>
      </x:c>
      <x:c r="B40" s="30" t="str">
        <x:v>商品内容</x:v>
      </x:c>
      <x:c r="C40" s="31" t="str">
        <x:v>已有投入：对方怎样描述花费、币种、时间和付款方？</x:v>
      </x:c>
      <x:c r="D40" s="23"/>
      <x:c r="E40" s="23"/>
      <x:c r="F40" s="14"/>
    </x:row>
    <x:row r="41" ht="46" customHeight="1">
      <x:c r="A41" s="30" t="str">
        <x:v>I04</x:v>
      </x:c>
      <x:c r="B41" s="30" t="str">
        <x:v>商品内容</x:v>
      </x:c>
      <x:c r="C41" s="31" t="str">
        <x:v>材料与权限：已看过什么，哪些材料不能试用？</x:v>
      </x:c>
      <x:c r="D41" s="23"/>
      <x:c r="E41" s="23"/>
      <x:c r="F41" s="14"/>
    </x:row>
    <x:row r="42" ht="46" customHeight="1">
      <x:c r="A42" s="30" t="str">
        <x:v>I04</x:v>
      </x:c>
      <x:c r="B42" s="30" t="str">
        <x:v>商品内容</x:v>
      </x:c>
      <x:c r="C42" s="31" t="str">
        <x:v>替代选择：不用 AI 或沿用旧方案能否完成？</x:v>
      </x:c>
      <x:c r="D42" s="23"/>
      <x:c r="E42" s="23"/>
      <x:c r="F42" s="14"/>
    </x:row>
    <x:row r="43" ht="46" customHeight="1">
      <x:c r="A43" s="30" t="str">
        <x:v>I04</x:v>
      </x:c>
      <x:c r="B43" s="30" t="str">
        <x:v>商品内容</x:v>
      </x:c>
      <x:c r="C43" s="31" t="str">
        <x:v>下次任务：什么触发，日期是否已有安排？</x:v>
      </x:c>
      <x:c r="D43" s="23"/>
      <x:c r="E43" s="23"/>
      <x:c r="F43" s="14"/>
    </x:row>
    <x:row r="44" ht="46" customHeight="1">
      <x:c r="A44" s="30" t="str">
        <x:v>I04</x:v>
      </x:c>
      <x:c r="B44" s="30" t="str">
        <x:v>商品内容</x:v>
      </x:c>
      <x:c r="C44" s="31" t="str">
        <x:v>反例与拒绝原因：什么情况下不会用我们的方案？</x:v>
      </x:c>
      <x:c r="D44" s="23"/>
      <x:c r="E44" s="23"/>
      <x:c r="F44" s="14"/>
    </x:row>
    <x:row r="45" ht="46" customHeight="1">
      <x:c r="A45" s="30" t="str">
        <x:v>I04</x:v>
      </x:c>
      <x:c r="B45" s="30" t="str">
        <x:v>商品内容</x:v>
      </x:c>
      <x:c r="C45" s="31" t="str">
        <x:v>复述确认：对方纠正了什么，还缺什么证据？</x:v>
      </x:c>
      <x:c r="D45" s="23"/>
      <x:c r="E45" s="23"/>
      <x:c r="F45" s="14"/>
    </x:row>
    <x:row r="46" ht="46" customHeight="1">
      <x:c r="A46" s="26" t="str">
        <x:v>I05</x:v>
      </x:c>
      <x:c r="B46" s="26" t="str">
        <x:v>连载创作</x:v>
      </x:c>
      <x:c r="C46" s="27" t="str">
        <x:v>最近一次真实任务：何时发生，交付给什么角色？</x:v>
      </x:c>
      <x:c r="D46" s="28"/>
      <x:c r="E46" s="28"/>
      <x:c r="F46" s="29"/>
    </x:row>
    <x:row r="47" ht="46" customHeight="1">
      <x:c r="A47" s="24" t="str">
        <x:v>I05</x:v>
      </x:c>
      <x:c r="B47" s="24" t="str">
        <x:v>连载创作</x:v>
      </x:c>
      <x:c r="C47" s="25" t="str">
        <x:v>验收标准：尺寸、风格、准确性或接口要求是什么？</x:v>
      </x:c>
      <x:c r="D47" s="23"/>
      <x:c r="E47" s="23"/>
      <x:c r="F47" s="14"/>
    </x:row>
    <x:row r="48" ht="46" customHeight="1">
      <x:c r="A48" s="24" t="str">
        <x:v>I05</x:v>
      </x:c>
      <x:c r="B48" s="24" t="str">
        <x:v>连载创作</x:v>
      </x:c>
      <x:c r="C48" s="25" t="str">
        <x:v>旧方案：用了什么，由谁完成，为什么继续使用？</x:v>
      </x:c>
      <x:c r="D48" s="23"/>
      <x:c r="E48" s="23"/>
      <x:c r="F48" s="14"/>
    </x:row>
    <x:row r="49" ht="46" customHeight="1">
      <x:c r="A49" s="24" t="str">
        <x:v>I05</x:v>
      </x:c>
      <x:c r="B49" s="24" t="str">
        <x:v>连载创作</x:v>
      </x:c>
      <x:c r="C49" s="25" t="str">
        <x:v>痛点与后果：哪里卡住，造成什么返工或损失？</x:v>
      </x:c>
      <x:c r="D49" s="23"/>
      <x:c r="E49" s="23"/>
      <x:c r="F49" s="14"/>
    </x:row>
    <x:row r="50" ht="46" customHeight="1">
      <x:c r="A50" s="24" t="str">
        <x:v>I05</x:v>
      </x:c>
      <x:c r="B50" s="24" t="str">
        <x:v>连载创作</x:v>
      </x:c>
      <x:c r="C50" s="25" t="str">
        <x:v>已有投入：对方怎样描述花费、币种、时间和付款方？</x:v>
      </x:c>
      <x:c r="D50" s="23"/>
      <x:c r="E50" s="23"/>
      <x:c r="F50" s="14"/>
    </x:row>
    <x:row r="51" ht="46" customHeight="1">
      <x:c r="A51" s="24" t="str">
        <x:v>I05</x:v>
      </x:c>
      <x:c r="B51" s="24" t="str">
        <x:v>连载创作</x:v>
      </x:c>
      <x:c r="C51" s="25" t="str">
        <x:v>材料与权限：已看过什么，哪些材料不能试用？</x:v>
      </x:c>
      <x:c r="D51" s="23"/>
      <x:c r="E51" s="23"/>
      <x:c r="F51" s="14"/>
    </x:row>
    <x:row r="52" ht="46" customHeight="1">
      <x:c r="A52" s="24" t="str">
        <x:v>I05</x:v>
      </x:c>
      <x:c r="B52" s="24" t="str">
        <x:v>连载创作</x:v>
      </x:c>
      <x:c r="C52" s="25" t="str">
        <x:v>替代选择：不用 AI 或沿用旧方案能否完成？</x:v>
      </x:c>
      <x:c r="D52" s="23"/>
      <x:c r="E52" s="23"/>
      <x:c r="F52" s="14"/>
    </x:row>
    <x:row r="53" ht="46" customHeight="1">
      <x:c r="A53" s="24" t="str">
        <x:v>I05</x:v>
      </x:c>
      <x:c r="B53" s="24" t="str">
        <x:v>连载创作</x:v>
      </x:c>
      <x:c r="C53" s="25" t="str">
        <x:v>下次任务：什么触发，日期是否已有安排？</x:v>
      </x:c>
      <x:c r="D53" s="23"/>
      <x:c r="E53" s="23"/>
      <x:c r="F53" s="14"/>
    </x:row>
    <x:row r="54" ht="46" customHeight="1">
      <x:c r="A54" s="24" t="str">
        <x:v>I05</x:v>
      </x:c>
      <x:c r="B54" s="24" t="str">
        <x:v>连载创作</x:v>
      </x:c>
      <x:c r="C54" s="25" t="str">
        <x:v>反例与拒绝原因：什么情况下不会用我们的方案？</x:v>
      </x:c>
      <x:c r="D54" s="23"/>
      <x:c r="E54" s="23"/>
      <x:c r="F54" s="14"/>
    </x:row>
    <x:row r="55" ht="46" customHeight="1">
      <x:c r="A55" s="24" t="str">
        <x:v>I05</x:v>
      </x:c>
      <x:c r="B55" s="24" t="str">
        <x:v>连载创作</x:v>
      </x:c>
      <x:c r="C55" s="25" t="str">
        <x:v>复述确认：对方纠正了什么，还缺什么证据？</x:v>
      </x:c>
      <x:c r="D55" s="23"/>
      <x:c r="E55" s="23"/>
      <x:c r="F55" s="14"/>
    </x:row>
    <x:row r="56" ht="46" customHeight="1">
      <x:c r="A56" s="32" t="str">
        <x:v>I06</x:v>
      </x:c>
      <x:c r="B56" s="32" t="str">
        <x:v>连载创作</x:v>
      </x:c>
      <x:c r="C56" s="33" t="str">
        <x:v>最近一次真实任务：何时发生，交付给什么角色？</x:v>
      </x:c>
      <x:c r="D56" s="28"/>
      <x:c r="E56" s="28"/>
      <x:c r="F56" s="29"/>
    </x:row>
    <x:row r="57" ht="46" customHeight="1">
      <x:c r="A57" s="30" t="str">
        <x:v>I06</x:v>
      </x:c>
      <x:c r="B57" s="30" t="str">
        <x:v>连载创作</x:v>
      </x:c>
      <x:c r="C57" s="31" t="str">
        <x:v>验收标准：尺寸、风格、准确性或接口要求是什么？</x:v>
      </x:c>
      <x:c r="D57" s="23"/>
      <x:c r="E57" s="23"/>
      <x:c r="F57" s="14"/>
    </x:row>
    <x:row r="58" ht="46" customHeight="1">
      <x:c r="A58" s="30" t="str">
        <x:v>I06</x:v>
      </x:c>
      <x:c r="B58" s="30" t="str">
        <x:v>连载创作</x:v>
      </x:c>
      <x:c r="C58" s="31" t="str">
        <x:v>旧方案：用了什么，由谁完成，为什么继续使用？</x:v>
      </x:c>
      <x:c r="D58" s="23"/>
      <x:c r="E58" s="23"/>
      <x:c r="F58" s="14"/>
    </x:row>
    <x:row r="59" ht="46" customHeight="1">
      <x:c r="A59" s="30" t="str">
        <x:v>I06</x:v>
      </x:c>
      <x:c r="B59" s="30" t="str">
        <x:v>连载创作</x:v>
      </x:c>
      <x:c r="C59" s="31" t="str">
        <x:v>痛点与后果：哪里卡住，造成什么返工或损失？</x:v>
      </x:c>
      <x:c r="D59" s="23"/>
      <x:c r="E59" s="23"/>
      <x:c r="F59" s="14"/>
    </x:row>
    <x:row r="60" ht="46" customHeight="1">
      <x:c r="A60" s="30" t="str">
        <x:v>I06</x:v>
      </x:c>
      <x:c r="B60" s="30" t="str">
        <x:v>连载创作</x:v>
      </x:c>
      <x:c r="C60" s="31" t="str">
        <x:v>已有投入：对方怎样描述花费、币种、时间和付款方？</x:v>
      </x:c>
      <x:c r="D60" s="23"/>
      <x:c r="E60" s="23"/>
      <x:c r="F60" s="14"/>
    </x:row>
    <x:row r="61" ht="46" customHeight="1">
      <x:c r="A61" s="30" t="str">
        <x:v>I06</x:v>
      </x:c>
      <x:c r="B61" s="30" t="str">
        <x:v>连载创作</x:v>
      </x:c>
      <x:c r="C61" s="31" t="str">
        <x:v>材料与权限：已看过什么，哪些材料不能试用？</x:v>
      </x:c>
      <x:c r="D61" s="23"/>
      <x:c r="E61" s="23"/>
      <x:c r="F61" s="14"/>
    </x:row>
    <x:row r="62" ht="46" customHeight="1">
      <x:c r="A62" s="30" t="str">
        <x:v>I06</x:v>
      </x:c>
      <x:c r="B62" s="30" t="str">
        <x:v>连载创作</x:v>
      </x:c>
      <x:c r="C62" s="31" t="str">
        <x:v>替代选择：不用 AI 或沿用旧方案能否完成？</x:v>
      </x:c>
      <x:c r="D62" s="23"/>
      <x:c r="E62" s="23"/>
      <x:c r="F62" s="14"/>
    </x:row>
    <x:row r="63" ht="46" customHeight="1">
      <x:c r="A63" s="30" t="str">
        <x:v>I06</x:v>
      </x:c>
      <x:c r="B63" s="30" t="str">
        <x:v>连载创作</x:v>
      </x:c>
      <x:c r="C63" s="31" t="str">
        <x:v>下次任务：什么触发，日期是否已有安排？</x:v>
      </x:c>
      <x:c r="D63" s="23"/>
      <x:c r="E63" s="23"/>
      <x:c r="F63" s="14"/>
    </x:row>
    <x:row r="64" ht="46" customHeight="1">
      <x:c r="A64" s="30" t="str">
        <x:v>I06</x:v>
      </x:c>
      <x:c r="B64" s="30" t="str">
        <x:v>连载创作</x:v>
      </x:c>
      <x:c r="C64" s="31" t="str">
        <x:v>反例与拒绝原因：什么情况下不会用我们的方案？</x:v>
      </x:c>
      <x:c r="D64" s="23"/>
      <x:c r="E64" s="23"/>
      <x:c r="F64" s="14"/>
    </x:row>
    <x:row r="65" ht="46" customHeight="1">
      <x:c r="A65" s="30" t="str">
        <x:v>I06</x:v>
      </x:c>
      <x:c r="B65" s="30" t="str">
        <x:v>连载创作</x:v>
      </x:c>
      <x:c r="C65" s="31" t="str">
        <x:v>复述确认：对方纠正了什么，还缺什么证据？</x:v>
      </x:c>
      <x:c r="D65" s="23"/>
      <x:c r="E65" s="23"/>
      <x:c r="F65" s="14"/>
    </x:row>
    <x:row r="66" ht="46" customHeight="1">
      <x:c r="A66" s="26" t="str">
        <x:v>I07</x:v>
      </x:c>
      <x:c r="B66" s="26" t="str">
        <x:v>连载创作</x:v>
      </x:c>
      <x:c r="C66" s="27" t="str">
        <x:v>最近一次真实任务：何时发生，交付给什么角色？</x:v>
      </x:c>
      <x:c r="D66" s="28"/>
      <x:c r="E66" s="28"/>
      <x:c r="F66" s="29"/>
    </x:row>
    <x:row r="67" ht="46" customHeight="1">
      <x:c r="A67" s="24" t="str">
        <x:v>I07</x:v>
      </x:c>
      <x:c r="B67" s="24" t="str">
        <x:v>连载创作</x:v>
      </x:c>
      <x:c r="C67" s="25" t="str">
        <x:v>验收标准：尺寸、风格、准确性或接口要求是什么？</x:v>
      </x:c>
      <x:c r="D67" s="23"/>
      <x:c r="E67" s="23"/>
      <x:c r="F67" s="14"/>
    </x:row>
    <x:row r="68" ht="46" customHeight="1">
      <x:c r="A68" s="24" t="str">
        <x:v>I07</x:v>
      </x:c>
      <x:c r="B68" s="24" t="str">
        <x:v>连载创作</x:v>
      </x:c>
      <x:c r="C68" s="25" t="str">
        <x:v>旧方案：用了什么，由谁完成，为什么继续使用？</x:v>
      </x:c>
      <x:c r="D68" s="23"/>
      <x:c r="E68" s="23"/>
      <x:c r="F68" s="14"/>
    </x:row>
    <x:row r="69" ht="46" customHeight="1">
      <x:c r="A69" s="24" t="str">
        <x:v>I07</x:v>
      </x:c>
      <x:c r="B69" s="24" t="str">
        <x:v>连载创作</x:v>
      </x:c>
      <x:c r="C69" s="25" t="str">
        <x:v>痛点与后果：哪里卡住，造成什么返工或损失？</x:v>
      </x:c>
      <x:c r="D69" s="23"/>
      <x:c r="E69" s="23"/>
      <x:c r="F69" s="14"/>
    </x:row>
    <x:row r="70" ht="46" customHeight="1">
      <x:c r="A70" s="24" t="str">
        <x:v>I07</x:v>
      </x:c>
      <x:c r="B70" s="24" t="str">
        <x:v>连载创作</x:v>
      </x:c>
      <x:c r="C70" s="25" t="str">
        <x:v>已有投入：对方怎样描述花费、币种、时间和付款方？</x:v>
      </x:c>
      <x:c r="D70" s="23"/>
      <x:c r="E70" s="23"/>
      <x:c r="F70" s="14"/>
    </x:row>
    <x:row r="71" ht="46" customHeight="1">
      <x:c r="A71" s="24" t="str">
        <x:v>I07</x:v>
      </x:c>
      <x:c r="B71" s="24" t="str">
        <x:v>连载创作</x:v>
      </x:c>
      <x:c r="C71" s="25" t="str">
        <x:v>材料与权限：已看过什么，哪些材料不能试用？</x:v>
      </x:c>
      <x:c r="D71" s="23"/>
      <x:c r="E71" s="23"/>
      <x:c r="F71" s="14"/>
    </x:row>
    <x:row r="72" ht="46" customHeight="1">
      <x:c r="A72" s="24" t="str">
        <x:v>I07</x:v>
      </x:c>
      <x:c r="B72" s="24" t="str">
        <x:v>连载创作</x:v>
      </x:c>
      <x:c r="C72" s="25" t="str">
        <x:v>替代选择：不用 AI 或沿用旧方案能否完成？</x:v>
      </x:c>
      <x:c r="D72" s="23"/>
      <x:c r="E72" s="23"/>
      <x:c r="F72" s="14"/>
    </x:row>
    <x:row r="73" ht="46" customHeight="1">
      <x:c r="A73" s="24" t="str">
        <x:v>I07</x:v>
      </x:c>
      <x:c r="B73" s="24" t="str">
        <x:v>连载创作</x:v>
      </x:c>
      <x:c r="C73" s="25" t="str">
        <x:v>下次任务：什么触发，日期是否已有安排？</x:v>
      </x:c>
      <x:c r="D73" s="23"/>
      <x:c r="E73" s="23"/>
      <x:c r="F73" s="14"/>
    </x:row>
    <x:row r="74" ht="46" customHeight="1">
      <x:c r="A74" s="24" t="str">
        <x:v>I07</x:v>
      </x:c>
      <x:c r="B74" s="24" t="str">
        <x:v>连载创作</x:v>
      </x:c>
      <x:c r="C74" s="25" t="str">
        <x:v>反例与拒绝原因：什么情况下不会用我们的方案？</x:v>
      </x:c>
      <x:c r="D74" s="23"/>
      <x:c r="E74" s="23"/>
      <x:c r="F74" s="14"/>
    </x:row>
    <x:row r="75" ht="46" customHeight="1">
      <x:c r="A75" s="24" t="str">
        <x:v>I07</x:v>
      </x:c>
      <x:c r="B75" s="24" t="str">
        <x:v>连载创作</x:v>
      </x:c>
      <x:c r="C75" s="25" t="str">
        <x:v>复述确认：对方纠正了什么，还缺什么证据？</x:v>
      </x:c>
      <x:c r="D75" s="23"/>
      <x:c r="E75" s="23"/>
      <x:c r="F75" s="14"/>
    </x:row>
    <x:row r="76" ht="46" customHeight="1">
      <x:c r="A76" s="32" t="str">
        <x:v>I08</x:v>
      </x:c>
      <x:c r="B76" s="32" t="str">
        <x:v>连载创作</x:v>
      </x:c>
      <x:c r="C76" s="33" t="str">
        <x:v>最近一次真实任务：何时发生，交付给什么角色？</x:v>
      </x:c>
      <x:c r="D76" s="28"/>
      <x:c r="E76" s="28"/>
      <x:c r="F76" s="29"/>
    </x:row>
    <x:row r="77" ht="46" customHeight="1">
      <x:c r="A77" s="30" t="str">
        <x:v>I08</x:v>
      </x:c>
      <x:c r="B77" s="30" t="str">
        <x:v>连载创作</x:v>
      </x:c>
      <x:c r="C77" s="31" t="str">
        <x:v>验收标准：尺寸、风格、准确性或接口要求是什么？</x:v>
      </x:c>
      <x:c r="D77" s="23"/>
      <x:c r="E77" s="23"/>
      <x:c r="F77" s="14"/>
    </x:row>
    <x:row r="78" ht="46" customHeight="1">
      <x:c r="A78" s="30" t="str">
        <x:v>I08</x:v>
      </x:c>
      <x:c r="B78" s="30" t="str">
        <x:v>连载创作</x:v>
      </x:c>
      <x:c r="C78" s="31" t="str">
        <x:v>旧方案：用了什么，由谁完成，为什么继续使用？</x:v>
      </x:c>
      <x:c r="D78" s="23"/>
      <x:c r="E78" s="23"/>
      <x:c r="F78" s="14"/>
    </x:row>
    <x:row r="79" ht="46" customHeight="1">
      <x:c r="A79" s="30" t="str">
        <x:v>I08</x:v>
      </x:c>
      <x:c r="B79" s="30" t="str">
        <x:v>连载创作</x:v>
      </x:c>
      <x:c r="C79" s="31" t="str">
        <x:v>痛点与后果：哪里卡住，造成什么返工或损失？</x:v>
      </x:c>
      <x:c r="D79" s="23"/>
      <x:c r="E79" s="23"/>
      <x:c r="F79" s="14"/>
    </x:row>
    <x:row r="80" ht="46" customHeight="1">
      <x:c r="A80" s="30" t="str">
        <x:v>I08</x:v>
      </x:c>
      <x:c r="B80" s="30" t="str">
        <x:v>连载创作</x:v>
      </x:c>
      <x:c r="C80" s="31" t="str">
        <x:v>已有投入：对方怎样描述花费、币种、时间和付款方？</x:v>
      </x:c>
      <x:c r="D80" s="23"/>
      <x:c r="E80" s="23"/>
      <x:c r="F80" s="14"/>
    </x:row>
    <x:row r="81" ht="46" customHeight="1">
      <x:c r="A81" s="30" t="str">
        <x:v>I08</x:v>
      </x:c>
      <x:c r="B81" s="30" t="str">
        <x:v>连载创作</x:v>
      </x:c>
      <x:c r="C81" s="31" t="str">
        <x:v>材料与权限：已看过什么，哪些材料不能试用？</x:v>
      </x:c>
      <x:c r="D81" s="23"/>
      <x:c r="E81" s="23"/>
      <x:c r="F81" s="14"/>
    </x:row>
    <x:row r="82" ht="46" customHeight="1">
      <x:c r="A82" s="30" t="str">
        <x:v>I08</x:v>
      </x:c>
      <x:c r="B82" s="30" t="str">
        <x:v>连载创作</x:v>
      </x:c>
      <x:c r="C82" s="31" t="str">
        <x:v>替代选择：不用 AI 或沿用旧方案能否完成？</x:v>
      </x:c>
      <x:c r="D82" s="23"/>
      <x:c r="E82" s="23"/>
      <x:c r="F82" s="14"/>
    </x:row>
    <x:row r="83" ht="46" customHeight="1">
      <x:c r="A83" s="30" t="str">
        <x:v>I08</x:v>
      </x:c>
      <x:c r="B83" s="30" t="str">
        <x:v>连载创作</x:v>
      </x:c>
      <x:c r="C83" s="31" t="str">
        <x:v>下次任务：什么触发，日期是否已有安排？</x:v>
      </x:c>
      <x:c r="D83" s="23"/>
      <x:c r="E83" s="23"/>
      <x:c r="F83" s="14"/>
    </x:row>
    <x:row r="84" ht="46" customHeight="1">
      <x:c r="A84" s="30" t="str">
        <x:v>I08</x:v>
      </x:c>
      <x:c r="B84" s="30" t="str">
        <x:v>连载创作</x:v>
      </x:c>
      <x:c r="C84" s="31" t="str">
        <x:v>反例与拒绝原因：什么情况下不会用我们的方案？</x:v>
      </x:c>
      <x:c r="D84" s="23"/>
      <x:c r="E84" s="23"/>
      <x:c r="F84" s="14"/>
    </x:row>
    <x:row r="85" ht="46" customHeight="1">
      <x:c r="A85" s="30" t="str">
        <x:v>I08</x:v>
      </x:c>
      <x:c r="B85" s="30" t="str">
        <x:v>连载创作</x:v>
      </x:c>
      <x:c r="C85" s="31" t="str">
        <x:v>复述确认：对方纠正了什么，还缺什么证据？</x:v>
      </x:c>
      <x:c r="D85" s="23"/>
      <x:c r="E85" s="23"/>
      <x:c r="F85" s="14"/>
    </x:row>
    <x:row r="86" ht="46" customHeight="1">
      <x:c r="A86" s="26" t="str">
        <x:v>I09</x:v>
      </x:c>
      <x:c r="B86" s="26" t="str">
        <x:v>API 使用</x:v>
      </x:c>
      <x:c r="C86" s="27" t="str">
        <x:v>最近一次真实任务：何时发生，交付给什么角色？</x:v>
      </x:c>
      <x:c r="D86" s="28"/>
      <x:c r="E86" s="28"/>
      <x:c r="F86" s="29"/>
    </x:row>
    <x:row r="87" ht="46" customHeight="1">
      <x:c r="A87" s="24" t="str">
        <x:v>I09</x:v>
      </x:c>
      <x:c r="B87" s="24" t="str">
        <x:v>API 使用</x:v>
      </x:c>
      <x:c r="C87" s="25" t="str">
        <x:v>验收标准：尺寸、风格、准确性或接口要求是什么？</x:v>
      </x:c>
      <x:c r="D87" s="23"/>
      <x:c r="E87" s="23"/>
      <x:c r="F87" s="14"/>
    </x:row>
    <x:row r="88" ht="46" customHeight="1">
      <x:c r="A88" s="24" t="str">
        <x:v>I09</x:v>
      </x:c>
      <x:c r="B88" s="24" t="str">
        <x:v>API 使用</x:v>
      </x:c>
      <x:c r="C88" s="25" t="str">
        <x:v>旧方案：用了什么，由谁完成，为什么继续使用？</x:v>
      </x:c>
      <x:c r="D88" s="23"/>
      <x:c r="E88" s="23"/>
      <x:c r="F88" s="14"/>
    </x:row>
    <x:row r="89" ht="46" customHeight="1">
      <x:c r="A89" s="24" t="str">
        <x:v>I09</x:v>
      </x:c>
      <x:c r="B89" s="24" t="str">
        <x:v>API 使用</x:v>
      </x:c>
      <x:c r="C89" s="25" t="str">
        <x:v>痛点与后果：哪里卡住，造成什么返工或损失？</x:v>
      </x:c>
      <x:c r="D89" s="23"/>
      <x:c r="E89" s="23"/>
      <x:c r="F89" s="14"/>
    </x:row>
    <x:row r="90" ht="46" customHeight="1">
      <x:c r="A90" s="24" t="str">
        <x:v>I09</x:v>
      </x:c>
      <x:c r="B90" s="24" t="str">
        <x:v>API 使用</x:v>
      </x:c>
      <x:c r="C90" s="25" t="str">
        <x:v>已有投入：对方怎样描述花费、币种、时间和付款方？</x:v>
      </x:c>
      <x:c r="D90" s="23"/>
      <x:c r="E90" s="23"/>
      <x:c r="F90" s="14"/>
    </x:row>
    <x:row r="91" ht="46" customHeight="1">
      <x:c r="A91" s="24" t="str">
        <x:v>I09</x:v>
      </x:c>
      <x:c r="B91" s="24" t="str">
        <x:v>API 使用</x:v>
      </x:c>
      <x:c r="C91" s="25" t="str">
        <x:v>材料与权限：已看过什么，哪些材料不能试用？</x:v>
      </x:c>
      <x:c r="D91" s="23"/>
      <x:c r="E91" s="23"/>
      <x:c r="F91" s="14"/>
    </x:row>
    <x:row r="92" ht="46" customHeight="1">
      <x:c r="A92" s="24" t="str">
        <x:v>I09</x:v>
      </x:c>
      <x:c r="B92" s="24" t="str">
        <x:v>API 使用</x:v>
      </x:c>
      <x:c r="C92" s="25" t="str">
        <x:v>替代选择：不用 AI 或沿用旧方案能否完成？</x:v>
      </x:c>
      <x:c r="D92" s="23"/>
      <x:c r="E92" s="23"/>
      <x:c r="F92" s="14"/>
    </x:row>
    <x:row r="93" ht="46" customHeight="1">
      <x:c r="A93" s="24" t="str">
        <x:v>I09</x:v>
      </x:c>
      <x:c r="B93" s="24" t="str">
        <x:v>API 使用</x:v>
      </x:c>
      <x:c r="C93" s="25" t="str">
        <x:v>下次任务：什么触发，日期是否已有安排？</x:v>
      </x:c>
      <x:c r="D93" s="23"/>
      <x:c r="E93" s="23"/>
      <x:c r="F93" s="14"/>
    </x:row>
    <x:row r="94" ht="46" customHeight="1">
      <x:c r="A94" s="24" t="str">
        <x:v>I09</x:v>
      </x:c>
      <x:c r="B94" s="24" t="str">
        <x:v>API 使用</x:v>
      </x:c>
      <x:c r="C94" s="25" t="str">
        <x:v>反例与拒绝原因：什么情况下不会用我们的方案？</x:v>
      </x:c>
      <x:c r="D94" s="23"/>
      <x:c r="E94" s="23"/>
      <x:c r="F94" s="14"/>
    </x:row>
    <x:row r="95" ht="46" customHeight="1">
      <x:c r="A95" s="24" t="str">
        <x:v>I09</x:v>
      </x:c>
      <x:c r="B95" s="24" t="str">
        <x:v>API 使用</x:v>
      </x:c>
      <x:c r="C95" s="25" t="str">
        <x:v>复述确认：对方纠正了什么，还缺什么证据？</x:v>
      </x:c>
      <x:c r="D95" s="23"/>
      <x:c r="E95" s="23"/>
      <x:c r="F95" s="14"/>
    </x:row>
    <x:row r="96" ht="46" customHeight="1">
      <x:c r="A96" s="32" t="str">
        <x:v>I10</x:v>
      </x:c>
      <x:c r="B96" s="32" t="str">
        <x:v>API 使用</x:v>
      </x:c>
      <x:c r="C96" s="33" t="str">
        <x:v>最近一次真实任务：何时发生，交付给什么角色？</x:v>
      </x:c>
      <x:c r="D96" s="28"/>
      <x:c r="E96" s="28"/>
      <x:c r="F96" s="29"/>
    </x:row>
    <x:row r="97" ht="46" customHeight="1">
      <x:c r="A97" s="30" t="str">
        <x:v>I10</x:v>
      </x:c>
      <x:c r="B97" s="30" t="str">
        <x:v>API 使用</x:v>
      </x:c>
      <x:c r="C97" s="31" t="str">
        <x:v>验收标准：尺寸、风格、准确性或接口要求是什么？</x:v>
      </x:c>
      <x:c r="D97" s="23"/>
      <x:c r="E97" s="23"/>
      <x:c r="F97" s="14"/>
    </x:row>
    <x:row r="98" ht="46" customHeight="1">
      <x:c r="A98" s="30" t="str">
        <x:v>I10</x:v>
      </x:c>
      <x:c r="B98" s="30" t="str">
        <x:v>API 使用</x:v>
      </x:c>
      <x:c r="C98" s="31" t="str">
        <x:v>旧方案：用了什么，由谁完成，为什么继续使用？</x:v>
      </x:c>
      <x:c r="D98" s="23"/>
      <x:c r="E98" s="23"/>
      <x:c r="F98" s="14"/>
    </x:row>
    <x:row r="99" ht="46" customHeight="1">
      <x:c r="A99" s="30" t="str">
        <x:v>I10</x:v>
      </x:c>
      <x:c r="B99" s="30" t="str">
        <x:v>API 使用</x:v>
      </x:c>
      <x:c r="C99" s="31" t="str">
        <x:v>痛点与后果：哪里卡住，造成什么返工或损失？</x:v>
      </x:c>
      <x:c r="D99" s="23"/>
      <x:c r="E99" s="23"/>
      <x:c r="F99" s="14"/>
    </x:row>
    <x:row r="100" ht="46" customHeight="1">
      <x:c r="A100" s="30" t="str">
        <x:v>I10</x:v>
      </x:c>
      <x:c r="B100" s="30" t="str">
        <x:v>API 使用</x:v>
      </x:c>
      <x:c r="C100" s="31" t="str">
        <x:v>已有投入：对方怎样描述花费、币种、时间和付款方？</x:v>
      </x:c>
      <x:c r="D100" s="23"/>
      <x:c r="E100" s="23"/>
      <x:c r="F100" s="14"/>
    </x:row>
    <x:row r="101" ht="46" customHeight="1">
      <x:c r="A101" s="30" t="str">
        <x:v>I10</x:v>
      </x:c>
      <x:c r="B101" s="30" t="str">
        <x:v>API 使用</x:v>
      </x:c>
      <x:c r="C101" s="31" t="str">
        <x:v>材料与权限：已看过什么，哪些材料不能试用？</x:v>
      </x:c>
      <x:c r="D101" s="23"/>
      <x:c r="E101" s="23"/>
      <x:c r="F101" s="14"/>
    </x:row>
    <x:row r="102" ht="46" customHeight="1">
      <x:c r="A102" s="30" t="str">
        <x:v>I10</x:v>
      </x:c>
      <x:c r="B102" s="30" t="str">
        <x:v>API 使用</x:v>
      </x:c>
      <x:c r="C102" s="31" t="str">
        <x:v>替代选择：不用 AI 或沿用旧方案能否完成？</x:v>
      </x:c>
      <x:c r="D102" s="23"/>
      <x:c r="E102" s="23"/>
      <x:c r="F102" s="14"/>
    </x:row>
    <x:row r="103" ht="46" customHeight="1">
      <x:c r="A103" s="30" t="str">
        <x:v>I10</x:v>
      </x:c>
      <x:c r="B103" s="30" t="str">
        <x:v>API 使用</x:v>
      </x:c>
      <x:c r="C103" s="31" t="str">
        <x:v>下次任务：什么触发，日期是否已有安排？</x:v>
      </x:c>
      <x:c r="D103" s="23"/>
      <x:c r="E103" s="23"/>
      <x:c r="F103" s="14"/>
    </x:row>
    <x:row r="104" ht="46" customHeight="1">
      <x:c r="A104" s="30" t="str">
        <x:v>I10</x:v>
      </x:c>
      <x:c r="B104" s="30" t="str">
        <x:v>API 使用</x:v>
      </x:c>
      <x:c r="C104" s="31" t="str">
        <x:v>反例与拒绝原因：什么情况下不会用我们的方案？</x:v>
      </x:c>
      <x:c r="D104" s="23"/>
      <x:c r="E104" s="23"/>
      <x:c r="F104" s="14"/>
    </x:row>
    <x:row r="105" ht="46" customHeight="1">
      <x:c r="A105" s="30" t="str">
        <x:v>I10</x:v>
      </x:c>
      <x:c r="B105" s="30" t="str">
        <x:v>API 使用</x:v>
      </x:c>
      <x:c r="C105" s="31" t="str">
        <x:v>复述确认：对方纠正了什么，还缺什么证据？</x:v>
      </x:c>
      <x:c r="D105" s="23"/>
      <x:c r="E105" s="23"/>
      <x:c r="F105" s="14"/>
    </x:row>
    <x:row r="106" ht="46" customHeight="1">
      <x:c r="A106" s="26" t="str">
        <x:v>I11</x:v>
      </x:c>
      <x:c r="B106" s="26" t="str">
        <x:v>API 使用</x:v>
      </x:c>
      <x:c r="C106" s="27" t="str">
        <x:v>最近一次真实任务：何时发生，交付给什么角色？</x:v>
      </x:c>
      <x:c r="D106" s="28"/>
      <x:c r="E106" s="28"/>
      <x:c r="F106" s="29"/>
    </x:row>
    <x:row r="107" ht="46" customHeight="1">
      <x:c r="A107" s="24" t="str">
        <x:v>I11</x:v>
      </x:c>
      <x:c r="B107" s="24" t="str">
        <x:v>API 使用</x:v>
      </x:c>
      <x:c r="C107" s="25" t="str">
        <x:v>验收标准：尺寸、风格、准确性或接口要求是什么？</x:v>
      </x:c>
      <x:c r="D107" s="23"/>
      <x:c r="E107" s="23"/>
      <x:c r="F107" s="14"/>
    </x:row>
    <x:row r="108" ht="46" customHeight="1">
      <x:c r="A108" s="24" t="str">
        <x:v>I11</x:v>
      </x:c>
      <x:c r="B108" s="24" t="str">
        <x:v>API 使用</x:v>
      </x:c>
      <x:c r="C108" s="25" t="str">
        <x:v>旧方案：用了什么，由谁完成，为什么继续使用？</x:v>
      </x:c>
      <x:c r="D108" s="23"/>
      <x:c r="E108" s="23"/>
      <x:c r="F108" s="14"/>
    </x:row>
    <x:row r="109" ht="46" customHeight="1">
      <x:c r="A109" s="24" t="str">
        <x:v>I11</x:v>
      </x:c>
      <x:c r="B109" s="24" t="str">
        <x:v>API 使用</x:v>
      </x:c>
      <x:c r="C109" s="25" t="str">
        <x:v>痛点与后果：哪里卡住，造成什么返工或损失？</x:v>
      </x:c>
      <x:c r="D109" s="23"/>
      <x:c r="E109" s="23"/>
      <x:c r="F109" s="14"/>
    </x:row>
    <x:row r="110" ht="46" customHeight="1">
      <x:c r="A110" s="24" t="str">
        <x:v>I11</x:v>
      </x:c>
      <x:c r="B110" s="24" t="str">
        <x:v>API 使用</x:v>
      </x:c>
      <x:c r="C110" s="25" t="str">
        <x:v>已有投入：对方怎样描述花费、币种、时间和付款方？</x:v>
      </x:c>
      <x:c r="D110" s="23"/>
      <x:c r="E110" s="23"/>
      <x:c r="F110" s="14"/>
    </x:row>
    <x:row r="111" ht="46" customHeight="1">
      <x:c r="A111" s="24" t="str">
        <x:v>I11</x:v>
      </x:c>
      <x:c r="B111" s="24" t="str">
        <x:v>API 使用</x:v>
      </x:c>
      <x:c r="C111" s="25" t="str">
        <x:v>材料与权限：已看过什么，哪些材料不能试用？</x:v>
      </x:c>
      <x:c r="D111" s="23"/>
      <x:c r="E111" s="23"/>
      <x:c r="F111" s="14"/>
    </x:row>
    <x:row r="112" ht="46" customHeight="1">
      <x:c r="A112" s="24" t="str">
        <x:v>I11</x:v>
      </x:c>
      <x:c r="B112" s="24" t="str">
        <x:v>API 使用</x:v>
      </x:c>
      <x:c r="C112" s="25" t="str">
        <x:v>替代选择：不用 AI 或沿用旧方案能否完成？</x:v>
      </x:c>
      <x:c r="D112" s="23"/>
      <x:c r="E112" s="23"/>
      <x:c r="F112" s="14"/>
    </x:row>
    <x:row r="113" ht="46" customHeight="1">
      <x:c r="A113" s="24" t="str">
        <x:v>I11</x:v>
      </x:c>
      <x:c r="B113" s="24" t="str">
        <x:v>API 使用</x:v>
      </x:c>
      <x:c r="C113" s="25" t="str">
        <x:v>下次任务：什么触发，日期是否已有安排？</x:v>
      </x:c>
      <x:c r="D113" s="23"/>
      <x:c r="E113" s="23"/>
      <x:c r="F113" s="14"/>
    </x:row>
    <x:row r="114" ht="46" customHeight="1">
      <x:c r="A114" s="24" t="str">
        <x:v>I11</x:v>
      </x:c>
      <x:c r="B114" s="24" t="str">
        <x:v>API 使用</x:v>
      </x:c>
      <x:c r="C114" s="25" t="str">
        <x:v>反例与拒绝原因：什么情况下不会用我们的方案？</x:v>
      </x:c>
      <x:c r="D114" s="23"/>
      <x:c r="E114" s="23"/>
      <x:c r="F114" s="14"/>
    </x:row>
    <x:row r="115" ht="46" customHeight="1">
      <x:c r="A115" s="24" t="str">
        <x:v>I11</x:v>
      </x:c>
      <x:c r="B115" s="24" t="str">
        <x:v>API 使用</x:v>
      </x:c>
      <x:c r="C115" s="25" t="str">
        <x:v>复述确认：对方纠正了什么，还缺什么证据？</x:v>
      </x:c>
      <x:c r="D115" s="23"/>
      <x:c r="E115" s="23"/>
      <x:c r="F115" s="14"/>
    </x:row>
    <x:row r="116" ht="46" customHeight="1">
      <x:c r="A116" s="32" t="str">
        <x:v>I12</x:v>
      </x:c>
      <x:c r="B116" s="32" t="str">
        <x:v>API 使用</x:v>
      </x:c>
      <x:c r="C116" s="33" t="str">
        <x:v>最近一次真实任务：何时发生，交付给什么角色？</x:v>
      </x:c>
      <x:c r="D116" s="28"/>
      <x:c r="E116" s="28"/>
      <x:c r="F116" s="29"/>
    </x:row>
    <x:row r="117" ht="46" customHeight="1">
      <x:c r="A117" s="30" t="str">
        <x:v>I12</x:v>
      </x:c>
      <x:c r="B117" s="30" t="str">
        <x:v>API 使用</x:v>
      </x:c>
      <x:c r="C117" s="31" t="str">
        <x:v>验收标准：尺寸、风格、准确性或接口要求是什么？</x:v>
      </x:c>
      <x:c r="D117" s="23"/>
      <x:c r="E117" s="23"/>
      <x:c r="F117" s="14"/>
    </x:row>
    <x:row r="118" ht="46" customHeight="1">
      <x:c r="A118" s="30" t="str">
        <x:v>I12</x:v>
      </x:c>
      <x:c r="B118" s="30" t="str">
        <x:v>API 使用</x:v>
      </x:c>
      <x:c r="C118" s="31" t="str">
        <x:v>旧方案：用了什么，由谁完成，为什么继续使用？</x:v>
      </x:c>
      <x:c r="D118" s="23"/>
      <x:c r="E118" s="23"/>
      <x:c r="F118" s="14"/>
    </x:row>
    <x:row r="119" ht="46" customHeight="1">
      <x:c r="A119" s="30" t="str">
        <x:v>I12</x:v>
      </x:c>
      <x:c r="B119" s="30" t="str">
        <x:v>API 使用</x:v>
      </x:c>
      <x:c r="C119" s="31" t="str">
        <x:v>痛点与后果：哪里卡住，造成什么返工或损失？</x:v>
      </x:c>
      <x:c r="D119" s="23"/>
      <x:c r="E119" s="23"/>
      <x:c r="F119" s="14"/>
    </x:row>
    <x:row r="120" ht="46" customHeight="1">
      <x:c r="A120" s="30" t="str">
        <x:v>I12</x:v>
      </x:c>
      <x:c r="B120" s="30" t="str">
        <x:v>API 使用</x:v>
      </x:c>
      <x:c r="C120" s="31" t="str">
        <x:v>已有投入：对方怎样描述花费、币种、时间和付款方？</x:v>
      </x:c>
      <x:c r="D120" s="23"/>
      <x:c r="E120" s="23"/>
      <x:c r="F120" s="14"/>
    </x:row>
    <x:row r="121" ht="46" customHeight="1">
      <x:c r="A121" s="30" t="str">
        <x:v>I12</x:v>
      </x:c>
      <x:c r="B121" s="30" t="str">
        <x:v>API 使用</x:v>
      </x:c>
      <x:c r="C121" s="31" t="str">
        <x:v>材料与权限：已看过什么，哪些材料不能试用？</x:v>
      </x:c>
      <x:c r="D121" s="23"/>
      <x:c r="E121" s="23"/>
      <x:c r="F121" s="14"/>
    </x:row>
    <x:row r="122" ht="46" customHeight="1">
      <x:c r="A122" s="30" t="str">
        <x:v>I12</x:v>
      </x:c>
      <x:c r="B122" s="30" t="str">
        <x:v>API 使用</x:v>
      </x:c>
      <x:c r="C122" s="31" t="str">
        <x:v>替代选择：不用 AI 或沿用旧方案能否完成？</x:v>
      </x:c>
      <x:c r="D122" s="23"/>
      <x:c r="E122" s="23"/>
      <x:c r="F122" s="14"/>
    </x:row>
    <x:row r="123" ht="46" customHeight="1">
      <x:c r="A123" s="30" t="str">
        <x:v>I12</x:v>
      </x:c>
      <x:c r="B123" s="30" t="str">
        <x:v>API 使用</x:v>
      </x:c>
      <x:c r="C123" s="31" t="str">
        <x:v>下次任务：什么触发，日期是否已有安排？</x:v>
      </x:c>
      <x:c r="D123" s="23"/>
      <x:c r="E123" s="23"/>
      <x:c r="F123" s="14"/>
    </x:row>
    <x:row r="124" ht="46" customHeight="1">
      <x:c r="A124" s="30" t="str">
        <x:v>I12</x:v>
      </x:c>
      <x:c r="B124" s="30" t="str">
        <x:v>API 使用</x:v>
      </x:c>
      <x:c r="C124" s="31" t="str">
        <x:v>反例与拒绝原因：什么情况下不会用我们的方案？</x:v>
      </x:c>
      <x:c r="D124" s="23"/>
      <x:c r="E124" s="23"/>
      <x:c r="F124" s="14"/>
    </x:row>
    <x:row r="125" ht="46" customHeight="1">
      <x:c r="A125" s="30" t="str">
        <x:v>I12</x:v>
      </x:c>
      <x:c r="B125" s="30" t="str">
        <x:v>API 使用</x:v>
      </x:c>
      <x:c r="C125" s="31" t="str">
        <x:v>复述确认：对方纠正了什么，还缺什么证据？</x:v>
      </x:c>
      <x:c r="D125" s="23"/>
      <x:c r="E125" s="23"/>
      <x:c r="F125" s="14"/>
    </x:row>
    <x:row r="126" ht="25" customHeight="1">
      <x:c r="A126" s="2"/>
      <x:c r="B126" s="2"/>
      <x:c r="C126" s="2"/>
      <x:c r="D126" s="2"/>
      <x:c r="E126" s="2"/>
      <x:c r="F126" s="2"/>
    </x:row>
    <x:row r="127" ht="25" customHeight="1">
      <x:c r="A127" s="2"/>
      <x:c r="B127" s="2"/>
      <x:c r="C127" s="2"/>
      <x:c r="D127" s="2"/>
      <x:c r="E127" s="2"/>
      <x:c r="F127" s="2"/>
    </x:row>
    <x:row r="128" ht="25" customHeight="1">
      <x:c r="A128" s="2"/>
      <x:c r="B128" s="2"/>
      <x:c r="C128" s="2"/>
      <x:c r="D128" s="2"/>
      <x:c r="E128" s="2"/>
      <x:c r="F128" s="2"/>
    </x:row>
  </x:sheetData>
  <x:dataValidations count="1">
    <x:dataValidation type="list" sqref="F6:F125">
      <x:formula1>"对方自述,已查看证据,混合（注明）,我们的解释,待确认"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42" hidden="0" customWidth="1"/>
    <x:col min="5" max="5" width="17" hidden="0" customWidth="1"/>
    <x:col min="6" max="6" width="15" hidden="0" customWidth="1"/>
    <x:col min="7" max="7" width="15" hidden="0" customWidth="1"/>
    <x:col min="8" max="8" width="18" hidden="0" customWidth="1"/>
    <x:col min="9" max="9" width="31" hidden="0" customWidth="1"/>
    <x:col min="10" max="10" width="31" hidden="0" customWidth="1"/>
    <x:col min="11" max="11" width="17" hidden="0" customWidth="1"/>
    <x:col min="12" max="12" width="3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4" customHeight="1">
      <x:c r="A2" s="3" t="str">
        <x:v>真实任务试用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选定一个方向后再邀请 5 位用户。这里预留首单和第二次任务共 10 行，尚无试用用户或实际结果。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 t="str">
        <x:v>首单已采用</x:v>
      </x:c>
      <x:c r="B5" s="5" t="n">
        <x:f>COUNTIFS($C$9:$C$18,"首单",$H$9:$H$18,"已采用")</x:f>
        <x:v>0</x:v>
      </x:c>
      <x:c r="C5" s="2" t="str">
        <x:v>第二次已到期</x:v>
      </x:c>
      <x:c r="D5" s="5" t="n">
        <x:f>COUNTIFS($C$9:$C$18,"第二次任务",$E$9:$E$18,"已到期")</x:f>
        <x:v>0</x:v>
      </x:c>
      <x:c r="E5" s="2"/>
      <x:c r="F5" s="2"/>
      <x:c r="G5" s="2"/>
      <x:c r="H5" s="2"/>
      <x:c r="I5" s="2"/>
      <x:c r="J5" s="2"/>
      <x:c r="K5" s="2"/>
      <x:c r="L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5" customHeight="1">
      <x:c r="A7" s="4" t="str">
        <x:v>第二次任务未到期时保留“尚未到期”，不能算流失。采用需写明用户怎样使用；人工帮助与耗时如实记录。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42" customHeight="1">
      <x:c r="A8" s="11" t="str">
        <x:v>试用编号</x:v>
      </x:c>
      <x:c r="B8" s="12" t="str">
        <x:v>匿名受访编号</x:v>
      </x:c>
      <x:c r="C8" s="12" t="str">
        <x:v>轮次</x:v>
      </x:c>
      <x:c r="D8" s="12" t="str">
        <x:v>真实任务与验收标准</x:v>
      </x:c>
      <x:c r="E8" s="12" t="str">
        <x:v>需求是否真正到期</x:v>
      </x:c>
      <x:c r="F8" s="12" t="str">
        <x:v>约定任务日期</x:v>
      </x:c>
      <x:c r="G8" s="12" t="str">
        <x:v>实际任务日期</x:v>
      </x:c>
      <x:c r="H8" s="12" t="str">
        <x:v>交付结果</x:v>
      </x:c>
      <x:c r="I8" s="12" t="str">
        <x:v>实际采用证据</x:v>
      </x:c>
      <x:c r="J8" s="12" t="str">
        <x:v>人工帮助内容</x:v>
      </x:c>
      <x:c r="K8" s="12" t="str">
        <x:v>人工时长（分钟）</x:v>
      </x:c>
      <x:c r="L8" s="13" t="str">
        <x:v>后续或未完成原因</x:v>
      </x:c>
    </x:row>
    <x:row r="9" ht="48" customHeight="1">
      <x:c r="A9" s="17" t="str">
        <x:v>T01-1</x:v>
      </x:c>
      <x:c r="B9" s="18"/>
      <x:c r="C9" s="17" t="str">
        <x:v>首单</x:v>
      </x:c>
      <x:c r="D9" s="19"/>
      <x:c r="E9" s="18" t="str">
        <x:v>未确认</x:v>
      </x:c>
      <x:c r="F9" s="20"/>
      <x:c r="G9" s="20"/>
      <x:c r="H9" s="18" t="str">
        <x:v>未开始</x:v>
      </x:c>
      <x:c r="I9" s="19"/>
      <x:c r="J9" s="19"/>
      <x:c r="K9" s="35"/>
      <x:c r="L9" s="19"/>
    </x:row>
    <x:row r="10" ht="48" customHeight="1">
      <x:c r="A10" s="17" t="str">
        <x:v>T01-2</x:v>
      </x:c>
      <x:c r="B10" s="18"/>
      <x:c r="C10" s="17" t="str">
        <x:v>第二次任务</x:v>
      </x:c>
      <x:c r="D10" s="19"/>
      <x:c r="E10" s="18" t="str">
        <x:v>未确认</x:v>
      </x:c>
      <x:c r="F10" s="20"/>
      <x:c r="G10" s="20"/>
      <x:c r="H10" s="18" t="str">
        <x:v>未开始</x:v>
      </x:c>
      <x:c r="I10" s="19"/>
      <x:c r="J10" s="19"/>
      <x:c r="K10" s="35"/>
      <x:c r="L10" s="19"/>
    </x:row>
    <x:row r="11" ht="48" customHeight="1">
      <x:c r="A11" s="17" t="str">
        <x:v>T02-1</x:v>
      </x:c>
      <x:c r="B11" s="18"/>
      <x:c r="C11" s="17" t="str">
        <x:v>首单</x:v>
      </x:c>
      <x:c r="D11" s="19"/>
      <x:c r="E11" s="18" t="str">
        <x:v>未确认</x:v>
      </x:c>
      <x:c r="F11" s="20"/>
      <x:c r="G11" s="20"/>
      <x:c r="H11" s="18" t="str">
        <x:v>未开始</x:v>
      </x:c>
      <x:c r="I11" s="19"/>
      <x:c r="J11" s="19"/>
      <x:c r="K11" s="35"/>
      <x:c r="L11" s="19"/>
    </x:row>
    <x:row r="12" ht="48" customHeight="1">
      <x:c r="A12" s="17" t="str">
        <x:v>T02-2</x:v>
      </x:c>
      <x:c r="B12" s="18"/>
      <x:c r="C12" s="17" t="str">
        <x:v>第二次任务</x:v>
      </x:c>
      <x:c r="D12" s="19"/>
      <x:c r="E12" s="18" t="str">
        <x:v>未确认</x:v>
      </x:c>
      <x:c r="F12" s="20"/>
      <x:c r="G12" s="20"/>
      <x:c r="H12" s="18" t="str">
        <x:v>未开始</x:v>
      </x:c>
      <x:c r="I12" s="19"/>
      <x:c r="J12" s="19"/>
      <x:c r="K12" s="35"/>
      <x:c r="L12" s="19"/>
    </x:row>
    <x:row r="13" ht="48" customHeight="1">
      <x:c r="A13" s="17" t="str">
        <x:v>T03-1</x:v>
      </x:c>
      <x:c r="B13" s="18"/>
      <x:c r="C13" s="17" t="str">
        <x:v>首单</x:v>
      </x:c>
      <x:c r="D13" s="19"/>
      <x:c r="E13" s="18" t="str">
        <x:v>未确认</x:v>
      </x:c>
      <x:c r="F13" s="20"/>
      <x:c r="G13" s="20"/>
      <x:c r="H13" s="18" t="str">
        <x:v>未开始</x:v>
      </x:c>
      <x:c r="I13" s="19"/>
      <x:c r="J13" s="19"/>
      <x:c r="K13" s="35"/>
      <x:c r="L13" s="19"/>
    </x:row>
    <x:row r="14" ht="48" customHeight="1">
      <x:c r="A14" s="17" t="str">
        <x:v>T03-2</x:v>
      </x:c>
      <x:c r="B14" s="18"/>
      <x:c r="C14" s="17" t="str">
        <x:v>第二次任务</x:v>
      </x:c>
      <x:c r="D14" s="19"/>
      <x:c r="E14" s="18" t="str">
        <x:v>未确认</x:v>
      </x:c>
      <x:c r="F14" s="20"/>
      <x:c r="G14" s="20"/>
      <x:c r="H14" s="18" t="str">
        <x:v>未开始</x:v>
      </x:c>
      <x:c r="I14" s="19"/>
      <x:c r="J14" s="19"/>
      <x:c r="K14" s="35"/>
      <x:c r="L14" s="19"/>
    </x:row>
    <x:row r="15" ht="48" customHeight="1">
      <x:c r="A15" s="17" t="str">
        <x:v>T04-1</x:v>
      </x:c>
      <x:c r="B15" s="18"/>
      <x:c r="C15" s="17" t="str">
        <x:v>首单</x:v>
      </x:c>
      <x:c r="D15" s="19"/>
      <x:c r="E15" s="18" t="str">
        <x:v>未确认</x:v>
      </x:c>
      <x:c r="F15" s="20"/>
      <x:c r="G15" s="20"/>
      <x:c r="H15" s="18" t="str">
        <x:v>未开始</x:v>
      </x:c>
      <x:c r="I15" s="19"/>
      <x:c r="J15" s="19"/>
      <x:c r="K15" s="35"/>
      <x:c r="L15" s="19"/>
    </x:row>
    <x:row r="16" ht="48" customHeight="1">
      <x:c r="A16" s="17" t="str">
        <x:v>T04-2</x:v>
      </x:c>
      <x:c r="B16" s="18"/>
      <x:c r="C16" s="17" t="str">
        <x:v>第二次任务</x:v>
      </x:c>
      <x:c r="D16" s="19"/>
      <x:c r="E16" s="18" t="str">
        <x:v>未确认</x:v>
      </x:c>
      <x:c r="F16" s="20"/>
      <x:c r="G16" s="20"/>
      <x:c r="H16" s="18" t="str">
        <x:v>未开始</x:v>
      </x:c>
      <x:c r="I16" s="19"/>
      <x:c r="J16" s="19"/>
      <x:c r="K16" s="35"/>
      <x:c r="L16" s="19"/>
    </x:row>
    <x:row r="17" ht="48" customHeight="1">
      <x:c r="A17" s="17" t="str">
        <x:v>T05-1</x:v>
      </x:c>
      <x:c r="B17" s="18"/>
      <x:c r="C17" s="17" t="str">
        <x:v>首单</x:v>
      </x:c>
      <x:c r="D17" s="19"/>
      <x:c r="E17" s="18" t="str">
        <x:v>未确认</x:v>
      </x:c>
      <x:c r="F17" s="20"/>
      <x:c r="G17" s="20"/>
      <x:c r="H17" s="18" t="str">
        <x:v>未开始</x:v>
      </x:c>
      <x:c r="I17" s="19"/>
      <x:c r="J17" s="19"/>
      <x:c r="K17" s="35"/>
      <x:c r="L17" s="19"/>
    </x:row>
    <x:row r="18" ht="48" customHeight="1">
      <x:c r="A18" s="17" t="str">
        <x:v>T05-2</x:v>
      </x:c>
      <x:c r="B18" s="18"/>
      <x:c r="C18" s="17" t="str">
        <x:v>第二次任务</x:v>
      </x:c>
      <x:c r="D18" s="19"/>
      <x:c r="E18" s="18" t="str">
        <x:v>未确认</x:v>
      </x:c>
      <x:c r="F18" s="20"/>
      <x:c r="G18" s="20"/>
      <x:c r="H18" s="18" t="str">
        <x:v>未开始</x:v>
      </x:c>
      <x:c r="I18" s="19"/>
      <x:c r="J18" s="19"/>
      <x:c r="K18" s="35"/>
      <x:c r="L18" s="19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5" customHeight="1">
      <x:c r="A20" s="4" t="str">
        <x:v>同一用户的两行填写同一匿名受访编号。失联、需求取消、未到期和产品失败分别记录，保留真实原因。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5" customHeight="1">
      <x:c r="A23" s="36" t="str">
        <x:v>用户付款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5" customHeight="1">
      <x:c r="A24" s="4" t="str">
        <x:v>这组金额使用同一付款币种。未查清留空，确认为零才填 0。补贴不记作用户付款。支出在下方另记币种。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42" customHeight="1">
      <x:c r="A26" s="11" t="str">
        <x:v>试用编号</x:v>
      </x:c>
      <x:c r="B26" s="12" t="str">
        <x:v>付款币种</x:v>
      </x:c>
      <x:c r="C26" s="12" t="str">
        <x:v>正常价格报价</x:v>
      </x:c>
      <x:c r="D26" s="12" t="str">
        <x:v>实际用户付款</x:v>
      </x:c>
      <x:c r="E26" s="12" t="str">
        <x:v>用户退款</x:v>
      </x:c>
      <x:c r="F26" s="12" t="str">
        <x:v>平台或团队补贴</x:v>
      </x:c>
      <x:c r="G26" s="12" t="str">
        <x:v>付款性质</x:v>
      </x:c>
      <x:c r="H26" s="12" t="str">
        <x:v>付款凭据状态</x:v>
      </x:c>
      <x:c r="I26" s="12" t="str">
        <x:v>付款日期</x:v>
      </x:c>
      <x:c r="J26" s="13" t="str">
        <x:v>报价或优惠说明</x:v>
      </x:c>
      <x:c r="K26" s="2"/>
      <x:c r="L26" s="2"/>
    </x:row>
    <x:row r="27" ht="36" customHeight="1">
      <x:c r="A27" s="17" t="str">
        <x:v>T01-1</x:v>
      </x:c>
      <x:c r="B27" s="18"/>
      <x:c r="C27" s="38"/>
      <x:c r="D27" s="38"/>
      <x:c r="E27" s="38"/>
      <x:c r="F27" s="38"/>
      <x:c r="G27" s="18"/>
      <x:c r="H27" s="18"/>
      <x:c r="I27" s="20"/>
      <x:c r="J27" s="19"/>
      <x:c r="K27" s="2"/>
      <x:c r="L27" s="2"/>
    </x:row>
    <x:row r="28" ht="36" customHeight="1">
      <x:c r="A28" s="17" t="str">
        <x:v>T01-2</x:v>
      </x:c>
      <x:c r="B28" s="18"/>
      <x:c r="C28" s="38"/>
      <x:c r="D28" s="38"/>
      <x:c r="E28" s="38"/>
      <x:c r="F28" s="38"/>
      <x:c r="G28" s="18"/>
      <x:c r="H28" s="18"/>
      <x:c r="I28" s="20"/>
      <x:c r="J28" s="19"/>
      <x:c r="K28" s="2"/>
      <x:c r="L28" s="2"/>
    </x:row>
    <x:row r="29" ht="36" customHeight="1">
      <x:c r="A29" s="17" t="str">
        <x:v>T02-1</x:v>
      </x:c>
      <x:c r="B29" s="18"/>
      <x:c r="C29" s="38"/>
      <x:c r="D29" s="38"/>
      <x:c r="E29" s="38"/>
      <x:c r="F29" s="38"/>
      <x:c r="G29" s="18"/>
      <x:c r="H29" s="18"/>
      <x:c r="I29" s="20"/>
      <x:c r="J29" s="19"/>
      <x:c r="K29" s="2"/>
      <x:c r="L29" s="2"/>
    </x:row>
    <x:row r="30" ht="36" customHeight="1">
      <x:c r="A30" s="17" t="str">
        <x:v>T02-2</x:v>
      </x:c>
      <x:c r="B30" s="18"/>
      <x:c r="C30" s="38"/>
      <x:c r="D30" s="38"/>
      <x:c r="E30" s="38"/>
      <x:c r="F30" s="38"/>
      <x:c r="G30" s="18"/>
      <x:c r="H30" s="18"/>
      <x:c r="I30" s="20"/>
      <x:c r="J30" s="19"/>
      <x:c r="K30" s="2"/>
      <x:c r="L30" s="2"/>
    </x:row>
    <x:row r="31" ht="36" customHeight="1">
      <x:c r="A31" s="17" t="str">
        <x:v>T03-1</x:v>
      </x:c>
      <x:c r="B31" s="18"/>
      <x:c r="C31" s="38"/>
      <x:c r="D31" s="38"/>
      <x:c r="E31" s="38"/>
      <x:c r="F31" s="38"/>
      <x:c r="G31" s="18"/>
      <x:c r="H31" s="18"/>
      <x:c r="I31" s="20"/>
      <x:c r="J31" s="19"/>
      <x:c r="K31" s="2"/>
      <x:c r="L31" s="2"/>
    </x:row>
    <x:row r="32" ht="36" customHeight="1">
      <x:c r="A32" s="17" t="str">
        <x:v>T03-2</x:v>
      </x:c>
      <x:c r="B32" s="18"/>
      <x:c r="C32" s="38"/>
      <x:c r="D32" s="38"/>
      <x:c r="E32" s="38"/>
      <x:c r="F32" s="38"/>
      <x:c r="G32" s="18"/>
      <x:c r="H32" s="18"/>
      <x:c r="I32" s="20"/>
      <x:c r="J32" s="19"/>
      <x:c r="K32" s="2"/>
      <x:c r="L32" s="2"/>
    </x:row>
    <x:row r="33" ht="36" customHeight="1">
      <x:c r="A33" s="17" t="str">
        <x:v>T04-1</x:v>
      </x:c>
      <x:c r="B33" s="18"/>
      <x:c r="C33" s="38"/>
      <x:c r="D33" s="38"/>
      <x:c r="E33" s="38"/>
      <x:c r="F33" s="38"/>
      <x:c r="G33" s="18"/>
      <x:c r="H33" s="18"/>
      <x:c r="I33" s="20"/>
      <x:c r="J33" s="19"/>
      <x:c r="K33" s="2"/>
      <x:c r="L33" s="2"/>
    </x:row>
    <x:row r="34" ht="36" customHeight="1">
      <x:c r="A34" s="17" t="str">
        <x:v>T04-2</x:v>
      </x:c>
      <x:c r="B34" s="18"/>
      <x:c r="C34" s="38"/>
      <x:c r="D34" s="38"/>
      <x:c r="E34" s="38"/>
      <x:c r="F34" s="38"/>
      <x:c r="G34" s="18"/>
      <x:c r="H34" s="18"/>
      <x:c r="I34" s="20"/>
      <x:c r="J34" s="19"/>
      <x:c r="K34" s="2"/>
      <x:c r="L34" s="2"/>
    </x:row>
    <x:row r="35" ht="36" customHeight="1">
      <x:c r="A35" s="17" t="str">
        <x:v>T05-1</x:v>
      </x:c>
      <x:c r="B35" s="18"/>
      <x:c r="C35" s="38"/>
      <x:c r="D35" s="38"/>
      <x:c r="E35" s="38"/>
      <x:c r="F35" s="38"/>
      <x:c r="G35" s="18"/>
      <x:c r="H35" s="18"/>
      <x:c r="I35" s="20"/>
      <x:c r="J35" s="19"/>
      <x:c r="K35" s="2"/>
      <x:c r="L35" s="2"/>
    </x:row>
    <x:row r="36" ht="36" customHeight="1">
      <x:c r="A36" s="17" t="str">
        <x:v>T05-2</x:v>
      </x:c>
      <x:c r="B36" s="18"/>
      <x:c r="C36" s="38"/>
      <x:c r="D36" s="38"/>
      <x:c r="E36" s="38"/>
      <x:c r="F36" s="38"/>
      <x:c r="G36" s="18"/>
      <x:c r="H36" s="18"/>
      <x:c r="I36" s="20"/>
      <x:c r="J36" s="19"/>
      <x:c r="K36" s="2"/>
      <x:c r="L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5" customHeight="1">
      <x:c r="A38" s="4" t="str">
        <x:v>正常价付费需结合实付、退款、补贴和凭据一起判断。币种填写 CNY、USD 等实际货币代码，不填积分。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5" customHeight="1">
      <x:c r="A40" s="36" t="str">
        <x:v>现金支出</x:v>
      </x:c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5" customHeight="1">
      <x:c r="A41" s="4" t="str">
        <x:v>两项支出的币种必须相同、金额都已确认，才显示合计。不同币种或未知费用留空；人工时间仍在上方单列。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42" customHeight="1">
      <x:c r="A43" s="11" t="str">
        <x:v>试用编号</x:v>
      </x:c>
      <x:c r="B43" s="12" t="str">
        <x:v>生成支出币种</x:v>
      </x:c>
      <x:c r="C43" s="12" t="str">
        <x:v>生成或 API 支出</x:v>
      </x:c>
      <x:c r="D43" s="12" t="str">
        <x:v>其他支出币种</x:v>
      </x:c>
      <x:c r="E43" s="12" t="str">
        <x:v>其他现金支出</x:v>
      </x:c>
      <x:c r="F43" s="12" t="str">
        <x:v>现金成本合计</x:v>
      </x:c>
      <x:c r="G43" s="12" t="str">
        <x:v>合计币种</x:v>
      </x:c>
      <x:c r="H43" s="13" t="str">
        <x:v>费用来源或说明</x:v>
      </x:c>
      <x:c r="I43" s="2"/>
      <x:c r="J43" s="2"/>
      <x:c r="K43" s="2"/>
      <x:c r="L43" s="2"/>
    </x:row>
    <x:row r="44" ht="36" customHeight="1">
      <x:c r="A44" s="17" t="str">
        <x:v>T01-1</x:v>
      </x:c>
      <x:c r="B44" s="18"/>
      <x:c r="C44" s="38"/>
      <x:c r="D44" s="18"/>
      <x:c r="E44" s="38"/>
      <x:c r="F44" s="40" t="str">
        <x:f>IF(AND(ISNUMBER(C44),ISNUMBER(E44),B44&lt;&gt;"",B44=D44),SUM(C44,E44),"")</x:f>
      </x:c>
      <x:c r="G44" s="41" t="str">
        <x:f>IF(ISNUMBER(F44),B44,"")</x:f>
      </x:c>
      <x:c r="H44" s="19"/>
      <x:c r="I44" s="2"/>
      <x:c r="J44" s="2"/>
      <x:c r="K44" s="2"/>
      <x:c r="L44" s="2"/>
    </x:row>
    <x:row r="45" ht="36" customHeight="1">
      <x:c r="A45" s="17" t="str">
        <x:v>T01-2</x:v>
      </x:c>
      <x:c r="B45" s="18"/>
      <x:c r="C45" s="38"/>
      <x:c r="D45" s="18"/>
      <x:c r="E45" s="38"/>
      <x:c r="F45" s="40" t="str">
        <x:f>IF(AND(ISNUMBER(C45),ISNUMBER(E45),B45&lt;&gt;"",B45=D45),SUM(C45,E45),"")</x:f>
      </x:c>
      <x:c r="G45" s="41" t="str">
        <x:f>IF(ISNUMBER(F45),B45,"")</x:f>
      </x:c>
      <x:c r="H45" s="19"/>
      <x:c r="I45" s="2"/>
      <x:c r="J45" s="2"/>
      <x:c r="K45" s="2"/>
      <x:c r="L45" s="2"/>
    </x:row>
    <x:row r="46" ht="36" customHeight="1">
      <x:c r="A46" s="17" t="str">
        <x:v>T02-1</x:v>
      </x:c>
      <x:c r="B46" s="18"/>
      <x:c r="C46" s="38"/>
      <x:c r="D46" s="18"/>
      <x:c r="E46" s="38"/>
      <x:c r="F46" s="40" t="str">
        <x:f>IF(AND(ISNUMBER(C46),ISNUMBER(E46),B46&lt;&gt;"",B46=D46),SUM(C46,E46),"")</x:f>
      </x:c>
      <x:c r="G46" s="41" t="str">
        <x:f>IF(ISNUMBER(F46),B46,"")</x:f>
      </x:c>
      <x:c r="H46" s="19"/>
      <x:c r="I46" s="2"/>
      <x:c r="J46" s="2"/>
      <x:c r="K46" s="2"/>
      <x:c r="L46" s="2"/>
    </x:row>
    <x:row r="47" ht="36" customHeight="1">
      <x:c r="A47" s="17" t="str">
        <x:v>T02-2</x:v>
      </x:c>
      <x:c r="B47" s="18"/>
      <x:c r="C47" s="38"/>
      <x:c r="D47" s="18"/>
      <x:c r="E47" s="38"/>
      <x:c r="F47" s="40" t="str">
        <x:f>IF(AND(ISNUMBER(C47),ISNUMBER(E47),B47&lt;&gt;"",B47=D47),SUM(C47,E47),"")</x:f>
      </x:c>
      <x:c r="G47" s="41" t="str">
        <x:f>IF(ISNUMBER(F47),B47,"")</x:f>
      </x:c>
      <x:c r="H47" s="19"/>
      <x:c r="I47" s="2"/>
      <x:c r="J47" s="2"/>
      <x:c r="K47" s="2"/>
      <x:c r="L47" s="2"/>
    </x:row>
    <x:row r="48" ht="36" customHeight="1">
      <x:c r="A48" s="17" t="str">
        <x:v>T03-1</x:v>
      </x:c>
      <x:c r="B48" s="18"/>
      <x:c r="C48" s="38"/>
      <x:c r="D48" s="18"/>
      <x:c r="E48" s="38"/>
      <x:c r="F48" s="40" t="str">
        <x:f>IF(AND(ISNUMBER(C48),ISNUMBER(E48),B48&lt;&gt;"",B48=D48),SUM(C48,E48),"")</x:f>
      </x:c>
      <x:c r="G48" s="41" t="str">
        <x:f>IF(ISNUMBER(F48),B48,"")</x:f>
      </x:c>
      <x:c r="H48" s="19"/>
      <x:c r="I48" s="2"/>
      <x:c r="J48" s="2"/>
      <x:c r="K48" s="2"/>
      <x:c r="L48" s="2"/>
    </x:row>
    <x:row r="49" ht="36" customHeight="1">
      <x:c r="A49" s="17" t="str">
        <x:v>T03-2</x:v>
      </x:c>
      <x:c r="B49" s="18"/>
      <x:c r="C49" s="38"/>
      <x:c r="D49" s="18"/>
      <x:c r="E49" s="38"/>
      <x:c r="F49" s="40" t="str">
        <x:f>IF(AND(ISNUMBER(C49),ISNUMBER(E49),B49&lt;&gt;"",B49=D49),SUM(C49,E49),"")</x:f>
      </x:c>
      <x:c r="G49" s="41" t="str">
        <x:f>IF(ISNUMBER(F49),B49,"")</x:f>
      </x:c>
      <x:c r="H49" s="19"/>
      <x:c r="I49" s="2"/>
      <x:c r="J49" s="2"/>
      <x:c r="K49" s="2"/>
      <x:c r="L49" s="2"/>
    </x:row>
    <x:row r="50" ht="36" customHeight="1">
      <x:c r="A50" s="17" t="str">
        <x:v>T04-1</x:v>
      </x:c>
      <x:c r="B50" s="18"/>
      <x:c r="C50" s="38"/>
      <x:c r="D50" s="18"/>
      <x:c r="E50" s="38"/>
      <x:c r="F50" s="40" t="str">
        <x:f>IF(AND(ISNUMBER(C50),ISNUMBER(E50),B50&lt;&gt;"",B50=D50),SUM(C50,E50),"")</x:f>
      </x:c>
      <x:c r="G50" s="41" t="str">
        <x:f>IF(ISNUMBER(F50),B50,"")</x:f>
      </x:c>
      <x:c r="H50" s="19"/>
      <x:c r="I50" s="2"/>
      <x:c r="J50" s="2"/>
      <x:c r="K50" s="2"/>
      <x:c r="L50" s="2"/>
    </x:row>
    <x:row r="51" ht="36" customHeight="1">
      <x:c r="A51" s="17" t="str">
        <x:v>T04-2</x:v>
      </x:c>
      <x:c r="B51" s="18"/>
      <x:c r="C51" s="38"/>
      <x:c r="D51" s="18"/>
      <x:c r="E51" s="38"/>
      <x:c r="F51" s="40" t="str">
        <x:f>IF(AND(ISNUMBER(C51),ISNUMBER(E51),B51&lt;&gt;"",B51=D51),SUM(C51,E51),"")</x:f>
      </x:c>
      <x:c r="G51" s="41" t="str">
        <x:f>IF(ISNUMBER(F51),B51,"")</x:f>
      </x:c>
      <x:c r="H51" s="19"/>
      <x:c r="I51" s="2"/>
      <x:c r="J51" s="2"/>
      <x:c r="K51" s="2"/>
      <x:c r="L51" s="2"/>
    </x:row>
    <x:row r="52" ht="36" customHeight="1">
      <x:c r="A52" s="17" t="str">
        <x:v>T05-1</x:v>
      </x:c>
      <x:c r="B52" s="18"/>
      <x:c r="C52" s="38"/>
      <x:c r="D52" s="18"/>
      <x:c r="E52" s="38"/>
      <x:c r="F52" s="40" t="str">
        <x:f>IF(AND(ISNUMBER(C52),ISNUMBER(E52),B52&lt;&gt;"",B52=D52),SUM(C52,E52),"")</x:f>
      </x:c>
      <x:c r="G52" s="41" t="str">
        <x:f>IF(ISNUMBER(F52),B52,"")</x:f>
      </x:c>
      <x:c r="H52" s="19"/>
      <x:c r="I52" s="2"/>
      <x:c r="J52" s="2"/>
      <x:c r="K52" s="2"/>
      <x:c r="L52" s="2"/>
    </x:row>
    <x:row r="53" ht="36" customHeight="1">
      <x:c r="A53" s="17" t="str">
        <x:v>T05-2</x:v>
      </x:c>
      <x:c r="B53" s="18"/>
      <x:c r="C53" s="38"/>
      <x:c r="D53" s="18"/>
      <x:c r="E53" s="38"/>
      <x:c r="F53" s="40" t="str">
        <x:f>IF(AND(ISNUMBER(C53),ISNUMBER(E53),B53&lt;&gt;"",B53=D53),SUM(C53,E53),"")</x:f>
      </x:c>
      <x:c r="G53" s="41" t="str">
        <x:f>IF(ISNUMBER(F53),B53,"")</x:f>
      </x:c>
      <x:c r="H53" s="19"/>
      <x:c r="I53" s="2"/>
      <x:c r="J53" s="2"/>
      <x:c r="K53" s="2"/>
      <x:c r="L53" s="2"/>
    </x:row>
    <x:row r="54" ht="2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5" customHeight="1">
      <x:c r="A55" s="4" t="str">
        <x:v>其他费用确认为零时，币种与生成支出一致、金额填 0。若需要货币折算，在费用说明记下汇率、日期和依据。</x:v>
      </x:c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</x:sheetData>
  <x:dataValidations count="5">
    <x:dataValidation type="list" sqref="B9:B18">
      <x:formula1>"I01,I02,I03,I04,I05,I06,I07,I08,I09,I10,I11,I12"</x:formula1>
    </x:dataValidation>
    <x:dataValidation type="list" sqref="E9:E18">
      <x:formula1>"未确认,尚未到期,已到期,任务取消"</x:formula1>
    </x:dataValidation>
    <x:dataValidation type="list" sqref="H9:H18">
      <x:formula1>"未开始,进行中,已交付待验收,已采用,未采用,失败,未完成"</x:formula1>
    </x:dataValidation>
    <x:dataValidation type="list" sqref="G27:G36">
      <x:formula1>"未提出报价,已报价未付款,正常价付款,折扣价付款,免费,未确认"</x:formula1>
    </x:dataValidation>
    <x:dataValidation type="list" sqref="H27:H36">
      <x:formula1>"已核验,仅口头确认,未核验,不适用"</x:formula1>
    </x:dataValidation>
  </x:dataValidations>
  <x:pageMargins left="0.7" right="0.7" top="0.75" bottom="0.75" header="0.3" footer="0.3"/>
</x:worksheet>
</file>